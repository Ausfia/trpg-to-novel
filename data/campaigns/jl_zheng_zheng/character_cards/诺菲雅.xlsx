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D:\TRPG\trpg-to-novel\"/>
    </mc:Choice>
  </mc:AlternateContent>
  <xr:revisionPtr revIDLastSave="0" documentId="13_ncr:1_{55C50FC6-B736-41D1-8B19-71E50237A701}" xr6:coauthVersionLast="47" xr6:coauthVersionMax="47" xr10:uidLastSave="{00000000-0000-0000-0000-000000000000}"/>
  <bookViews>
    <workbookView xWindow="3336" yWindow="3024" windowWidth="20568" windowHeight="12108" tabRatio="740" xr2:uid="{00000000-000D-0000-FFFF-FFFF00000000}"/>
  </bookViews>
  <sheets>
    <sheet name="背景" sheetId="17" r:id="rId1"/>
    <sheet name="数据表" sheetId="10" state="hidden" r:id="rId2"/>
    <sheet name="职业" sheetId="18" state="hidden" r:id="rId3"/>
    <sheet name="装备" sheetId="16" state="hidden" r:id="rId4"/>
    <sheet name="种族" sheetId="27" state="hidden" r:id="rId5"/>
    <sheet name="背景数据" sheetId="26" state="hidden" r:id="rId6"/>
    <sheet name=" " sheetId="22" state="hidden" r:id="rId7"/>
  </sheets>
  <externalReferences>
    <externalReference r:id="rId8"/>
  </externalReferences>
  <definedNames>
    <definedName name="DEX">[1]主要情况!$G$10</definedName>
    <definedName name="STR">[1]主要情况!$G$8</definedName>
    <definedName name="阿兰寇拉">数据表!#REF!</definedName>
    <definedName name="阿斯莫">数据表!#REF!</definedName>
    <definedName name="矮人">数据表!#REF!</definedName>
    <definedName name="斑猫人">数据表!#REF!</definedName>
    <definedName name="半精灵">数据表!#REF!</definedName>
    <definedName name="半人马">数据表!#REF!</definedName>
    <definedName name="半身人">数据表!#REF!</definedName>
    <definedName name="半兽人">数据表!#REF!</definedName>
    <definedName name="匕首">装备!$O$5</definedName>
    <definedName name="匕首伤害">装备!#REF!</definedName>
    <definedName name="鞭">装备!$O$35</definedName>
    <definedName name="鞭伤害">装备!#REF!</definedName>
    <definedName name="标枪">装备!$O$8</definedName>
    <definedName name="标枪伤害">装备!#REF!</definedName>
    <definedName name="捕网">装备!$O$40</definedName>
    <definedName name="捕网伤害">装备!#REF!</definedName>
    <definedName name="吹箭筒">装备!$O$36</definedName>
    <definedName name="吹箭筒伤害">装备!#REF!</definedName>
    <definedName name="纯种蛇人">数据表!#REF!</definedName>
    <definedName name="刺剑">装备!$O$29</definedName>
    <definedName name="刺剑伤害">装备!#REF!</definedName>
    <definedName name="地精">数据表!#REF!</definedName>
    <definedName name="钉头锤">装备!$O$27</definedName>
    <definedName name="钉头锤伤害">装备!#REF!</definedName>
    <definedName name="短棒">装备!$O$4</definedName>
    <definedName name="短棒伤害">装备!#REF!</definedName>
    <definedName name="短弓">装备!$O$16</definedName>
    <definedName name="短弓伤害">装备!#REF!</definedName>
    <definedName name="短剑">装备!$O$31</definedName>
    <definedName name="短剑伤害">装备!#REF!</definedName>
    <definedName name="飞镖">装备!$O$15</definedName>
    <definedName name="飞镖伤害">装备!#REF!</definedName>
    <definedName name="费尔伯格人">数据表!#REF!</definedName>
    <definedName name="歌利亚">数据表!#REF!</definedName>
    <definedName name="狗头人">数据表!#REF!</definedName>
    <definedName name="化兽者">数据表!#REF!</definedName>
    <definedName name="幻身灵">数据表!#REF!</definedName>
    <definedName name="吉斯人">数据表!#REF!</definedName>
    <definedName name="戟">装备!$O$23</definedName>
    <definedName name="戟伤害">装备!#REF!</definedName>
    <definedName name="精灵">数据表!#REF!</definedName>
    <definedName name="巨棒">装备!$O$6</definedName>
    <definedName name="巨棒伤害">装备!#REF!</definedName>
    <definedName name="巨锤">装备!$O$26</definedName>
    <definedName name="巨锤伤害">装备!#REF!</definedName>
    <definedName name="巨斧">装备!$O$21</definedName>
    <definedName name="巨斧伤害">装备!#REF!</definedName>
    <definedName name="巨剑">装备!$O$22</definedName>
    <definedName name="巨剑伤害">装备!#REF!</definedName>
    <definedName name="离梦人">数据表!#REF!</definedName>
    <definedName name="镰刀">装备!$O$12</definedName>
    <definedName name="镰刀伤害">装备!#REF!</definedName>
    <definedName name="链枷">装备!$O$19</definedName>
    <definedName name="链枷伤害">装备!#REF!</definedName>
    <definedName name="龙裔">数据表!#REF!</definedName>
    <definedName name="矛">装备!$O$13</definedName>
    <definedName name="矛伤害">装备!#REF!</definedName>
    <definedName name="牛头人">数据表!#REF!</definedName>
    <definedName name="骑枪">装备!$O$24</definedName>
    <definedName name="骑枪伤害">装备!#REF!</definedName>
    <definedName name="轻锤">装备!$O$9</definedName>
    <definedName name="轻锤伤害">装备!#REF!</definedName>
    <definedName name="轻弩">装备!$O$14</definedName>
    <definedName name="轻弩伤害">装备!#REF!</definedName>
    <definedName name="轻型">装备!$J$33:$J$35</definedName>
    <definedName name="人类">数据表!#REF!</definedName>
    <definedName name="三叉戟">装备!$O$32</definedName>
    <definedName name="三叉戟伤害">装备!#REF!</definedName>
    <definedName name="手斧">装备!$O$7</definedName>
    <definedName name="手斧伤害">装备!#REF!</definedName>
    <definedName name="手弩">装备!$O$37</definedName>
    <definedName name="手弩伤害">装备!#REF!</definedName>
    <definedName name="兽人">数据表!#REF!</definedName>
    <definedName name="梭螺鱼人">数据表!#REF!</definedName>
    <definedName name="提夫林">数据表!#REF!</definedName>
    <definedName name="天狗">数据表!#REF!</definedName>
    <definedName name="投石索">装备!$O$17</definedName>
    <definedName name="投石索伤害">装备!#REF!</definedName>
    <definedName name="弯刀">装备!$O$30</definedName>
    <definedName name="弯刀伤害">装备!#REF!</definedName>
    <definedName name="维多肯">数据表!#REF!</definedName>
    <definedName name="析米克杂种">数据表!#REF!</definedName>
    <definedName name="蜥蜴人">数据表!#REF!</definedName>
    <definedName name="象族">数据表!#REF!</definedName>
    <definedName name="硬头锤">装备!$O$10</definedName>
    <definedName name="硬头锤伤害">装备!#REF!</definedName>
    <definedName name="元素裔">数据表!#REF!</definedName>
    <definedName name="战锤">装备!$O$34</definedName>
    <definedName name="战锤伤害">装备!#REF!</definedName>
    <definedName name="战斧">装备!$O$18</definedName>
    <definedName name="战斧伤害">装备!#REF!</definedName>
    <definedName name="战镐">装备!$O$33</definedName>
    <definedName name="战镐伤害">装备!#REF!</definedName>
    <definedName name="战俑">数据表!#REF!</definedName>
    <definedName name="长柄刀">装备!$O$20</definedName>
    <definedName name="长柄刀伤害">装备!#REF!</definedName>
    <definedName name="长弓">装备!$O$39</definedName>
    <definedName name="长弓伤害">装备!#REF!</definedName>
    <definedName name="长棍">装备!$O$11</definedName>
    <definedName name="长棍伤害">装备!#REF!</definedName>
    <definedName name="长剑">装备!$O$25</definedName>
    <definedName name="长剑伤害">装备!#REF!</definedName>
    <definedName name="长矛">装备!$O$28</definedName>
    <definedName name="长矛伤害">装备!#REF!</definedName>
    <definedName name="中型">装备!$K$33:$K$37</definedName>
    <definedName name="重弩">装备!$O$38</definedName>
    <definedName name="重弩伤害">装备!#REF!</definedName>
    <definedName name="重型">装备!$L$33:$L$36</definedName>
    <definedName name="侏儒">数据表!#REF!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6" l="1"/>
  <c r="H2" i="26"/>
  <c r="D87" i="27"/>
  <c r="G85" i="27"/>
  <c r="F85" i="27"/>
  <c r="G84" i="27"/>
  <c r="F84" i="27"/>
  <c r="G83" i="27"/>
  <c r="F83" i="27"/>
  <c r="G80" i="27"/>
  <c r="G71" i="27"/>
  <c r="G66" i="27"/>
  <c r="F66" i="27"/>
  <c r="F65" i="27"/>
  <c r="G56" i="27"/>
  <c r="G55" i="27"/>
  <c r="G54" i="27"/>
  <c r="G53" i="27"/>
  <c r="G52" i="27"/>
  <c r="D52" i="27"/>
  <c r="AD51" i="27" a="1"/>
  <c r="AD51" i="27" s="1"/>
  <c r="AB51" i="27"/>
  <c r="AA51" i="27"/>
  <c r="Z51" i="27"/>
  <c r="Y51" i="27"/>
  <c r="X51" i="27"/>
  <c r="W51" i="27"/>
  <c r="V51" i="27"/>
  <c r="U51" i="27"/>
  <c r="T51" i="27"/>
  <c r="S51" i="27"/>
  <c r="R51" i="27"/>
  <c r="Q51" i="27"/>
  <c r="P51" i="27"/>
  <c r="O51" i="27"/>
  <c r="N51" i="27"/>
  <c r="M51" i="27"/>
  <c r="G51" i="27"/>
  <c r="D51" i="27"/>
  <c r="C51" i="27"/>
  <c r="AD50" i="27" a="1"/>
  <c r="AD50" i="27" s="1"/>
  <c r="AB50" i="27"/>
  <c r="AA50" i="27"/>
  <c r="Z50" i="27"/>
  <c r="Y50" i="27"/>
  <c r="X50" i="27"/>
  <c r="W50" i="27"/>
  <c r="V50" i="27"/>
  <c r="U50" i="27"/>
  <c r="T50" i="27"/>
  <c r="S50" i="27"/>
  <c r="R50" i="27"/>
  <c r="Q50" i="27"/>
  <c r="P50" i="27"/>
  <c r="O50" i="27"/>
  <c r="N50" i="27"/>
  <c r="M50" i="27"/>
  <c r="G50" i="27"/>
  <c r="D50" i="27"/>
  <c r="AD49" i="27" a="1"/>
  <c r="AD49" i="27" s="1"/>
  <c r="AB49" i="27"/>
  <c r="AA49" i="27"/>
  <c r="Z49" i="27"/>
  <c r="Y49" i="27"/>
  <c r="X49" i="27"/>
  <c r="W49" i="27"/>
  <c r="V49" i="27"/>
  <c r="U49" i="27"/>
  <c r="T49" i="27"/>
  <c r="S49" i="27"/>
  <c r="R49" i="27"/>
  <c r="Q49" i="27"/>
  <c r="P49" i="27"/>
  <c r="O49" i="27"/>
  <c r="N49" i="27"/>
  <c r="M49" i="27"/>
  <c r="G49" i="27"/>
  <c r="AD48" i="27" a="1"/>
  <c r="AD48" i="27" s="1"/>
  <c r="AB48" i="27"/>
  <c r="AA48" i="27"/>
  <c r="Z48" i="27"/>
  <c r="Y48" i="27"/>
  <c r="X48" i="27"/>
  <c r="W48" i="27"/>
  <c r="V48" i="27"/>
  <c r="U48" i="27"/>
  <c r="T48" i="27"/>
  <c r="S48" i="27"/>
  <c r="R48" i="27"/>
  <c r="Q48" i="27"/>
  <c r="P48" i="27"/>
  <c r="O48" i="27"/>
  <c r="N48" i="27"/>
  <c r="M48" i="27"/>
  <c r="G48" i="27"/>
  <c r="AD47" i="27" a="1"/>
  <c r="AD47" i="27" s="1"/>
  <c r="AB47" i="27"/>
  <c r="AA47" i="27"/>
  <c r="Z47" i="27"/>
  <c r="Y47" i="27"/>
  <c r="X47" i="27"/>
  <c r="W47" i="27"/>
  <c r="V47" i="27"/>
  <c r="U47" i="27"/>
  <c r="T47" i="27"/>
  <c r="S47" i="27"/>
  <c r="R47" i="27"/>
  <c r="Q47" i="27"/>
  <c r="P47" i="27"/>
  <c r="O47" i="27"/>
  <c r="N47" i="27"/>
  <c r="M47" i="27"/>
  <c r="AD46" i="27" a="1"/>
  <c r="AD46" i="27" s="1"/>
  <c r="AB46" i="27"/>
  <c r="AA46" i="27"/>
  <c r="Z46" i="27"/>
  <c r="Y46" i="27"/>
  <c r="X46" i="27"/>
  <c r="W46" i="27"/>
  <c r="V46" i="27"/>
  <c r="U46" i="27"/>
  <c r="T46" i="27"/>
  <c r="S46" i="27"/>
  <c r="R46" i="27"/>
  <c r="Q46" i="27"/>
  <c r="P46" i="27"/>
  <c r="O46" i="27"/>
  <c r="N46" i="27"/>
  <c r="M46" i="27"/>
  <c r="G46" i="27"/>
  <c r="F46" i="27"/>
  <c r="AD45" i="27" a="1"/>
  <c r="AD45" i="27" s="1"/>
  <c r="AB45" i="27"/>
  <c r="AA45" i="27"/>
  <c r="Z45" i="27"/>
  <c r="Y45" i="27"/>
  <c r="X45" i="27"/>
  <c r="W45" i="27"/>
  <c r="V45" i="27"/>
  <c r="U45" i="27"/>
  <c r="T45" i="27"/>
  <c r="S45" i="27"/>
  <c r="R45" i="27"/>
  <c r="Q45" i="27"/>
  <c r="P45" i="27"/>
  <c r="O45" i="27"/>
  <c r="N45" i="27"/>
  <c r="M45" i="27"/>
  <c r="AD44" i="27" a="1"/>
  <c r="AD44" i="27"/>
  <c r="AB44" i="27"/>
  <c r="AA44" i="27"/>
  <c r="Z44" i="27"/>
  <c r="Y44" i="27"/>
  <c r="X44" i="27"/>
  <c r="W44" i="27"/>
  <c r="V44" i="27"/>
  <c r="U44" i="27"/>
  <c r="T44" i="27"/>
  <c r="S44" i="27"/>
  <c r="R44" i="27"/>
  <c r="Q44" i="27"/>
  <c r="P44" i="27"/>
  <c r="O44" i="27"/>
  <c r="N44" i="27"/>
  <c r="M44" i="27"/>
  <c r="G44" i="27"/>
  <c r="AD43" i="27" a="1"/>
  <c r="AD43" i="27" s="1"/>
  <c r="AB43" i="27"/>
  <c r="AA43" i="27"/>
  <c r="Z43" i="27"/>
  <c r="Y43" i="27"/>
  <c r="X43" i="27"/>
  <c r="W43" i="27"/>
  <c r="V43" i="27"/>
  <c r="U43" i="27"/>
  <c r="T43" i="27"/>
  <c r="S43" i="27"/>
  <c r="R43" i="27"/>
  <c r="Q43" i="27"/>
  <c r="P43" i="27"/>
  <c r="O43" i="27"/>
  <c r="N43" i="27"/>
  <c r="M43" i="27"/>
  <c r="G43" i="27"/>
  <c r="AD42" i="27" a="1"/>
  <c r="AD42" i="27" s="1"/>
  <c r="AB42" i="27"/>
  <c r="AA42" i="27"/>
  <c r="Z42" i="27"/>
  <c r="Y42" i="27"/>
  <c r="X42" i="27"/>
  <c r="W42" i="27"/>
  <c r="V42" i="27"/>
  <c r="U42" i="27"/>
  <c r="T42" i="27"/>
  <c r="S42" i="27"/>
  <c r="R42" i="27"/>
  <c r="Q42" i="27"/>
  <c r="P42" i="27"/>
  <c r="O42" i="27"/>
  <c r="N42" i="27"/>
  <c r="M42" i="27"/>
  <c r="G42" i="27"/>
  <c r="F42" i="27"/>
  <c r="AD41" i="27" a="1"/>
  <c r="AD41" i="27" s="1"/>
  <c r="AB41" i="27"/>
  <c r="AA41" i="27"/>
  <c r="Z41" i="27"/>
  <c r="Y41" i="27"/>
  <c r="X41" i="27"/>
  <c r="W41" i="27"/>
  <c r="V41" i="27"/>
  <c r="U41" i="27"/>
  <c r="T41" i="27"/>
  <c r="S41" i="27"/>
  <c r="R41" i="27"/>
  <c r="Q41" i="27"/>
  <c r="P41" i="27"/>
  <c r="O41" i="27"/>
  <c r="N41" i="27"/>
  <c r="M41" i="27"/>
  <c r="G41" i="27"/>
  <c r="F41" i="27"/>
  <c r="AD40" i="27" a="1"/>
  <c r="AD40" i="27"/>
  <c r="AB40" i="27"/>
  <c r="AA40" i="27"/>
  <c r="Z40" i="27"/>
  <c r="Y40" i="27"/>
  <c r="X40" i="27"/>
  <c r="W40" i="27"/>
  <c r="V40" i="27"/>
  <c r="U40" i="27"/>
  <c r="T40" i="27"/>
  <c r="S40" i="27"/>
  <c r="R40" i="27"/>
  <c r="Q40" i="27"/>
  <c r="P40" i="27"/>
  <c r="O40" i="27"/>
  <c r="N40" i="27"/>
  <c r="M40" i="27"/>
  <c r="G40" i="27"/>
  <c r="F40" i="27"/>
  <c r="AD39" i="27" a="1"/>
  <c r="AD39" i="27"/>
  <c r="AB39" i="27"/>
  <c r="AA39" i="27"/>
  <c r="Z39" i="27"/>
  <c r="Y39" i="27"/>
  <c r="X39" i="27"/>
  <c r="W39" i="27"/>
  <c r="V39" i="27"/>
  <c r="U39" i="27"/>
  <c r="T39" i="27"/>
  <c r="S39" i="27"/>
  <c r="R39" i="27"/>
  <c r="Q39" i="27"/>
  <c r="P39" i="27"/>
  <c r="O39" i="27"/>
  <c r="N39" i="27"/>
  <c r="M39" i="27"/>
  <c r="G39" i="27"/>
  <c r="F39" i="27"/>
  <c r="AD38" i="27" a="1"/>
  <c r="AD38" i="27"/>
  <c r="AB38" i="27"/>
  <c r="AA38" i="27"/>
  <c r="Z38" i="27"/>
  <c r="Y38" i="27"/>
  <c r="X38" i="27"/>
  <c r="W38" i="27"/>
  <c r="V38" i="27"/>
  <c r="U38" i="27"/>
  <c r="T38" i="27"/>
  <c r="S38" i="27"/>
  <c r="R38" i="27"/>
  <c r="Q38" i="27"/>
  <c r="P38" i="27"/>
  <c r="O38" i="27"/>
  <c r="N38" i="27"/>
  <c r="M38" i="27"/>
  <c r="G38" i="27"/>
  <c r="F38" i="27"/>
  <c r="AD37" i="27" a="1"/>
  <c r="AD37" i="27"/>
  <c r="AB37" i="27"/>
  <c r="AA37" i="27"/>
  <c r="Z37" i="27"/>
  <c r="Y37" i="27"/>
  <c r="X37" i="27"/>
  <c r="W37" i="27"/>
  <c r="V37" i="27"/>
  <c r="U37" i="27"/>
  <c r="T37" i="27"/>
  <c r="S37" i="27"/>
  <c r="R37" i="27"/>
  <c r="Q37" i="27"/>
  <c r="P37" i="27"/>
  <c r="O37" i="27"/>
  <c r="N37" i="27"/>
  <c r="M37" i="27"/>
  <c r="AD36" i="27" a="1"/>
  <c r="AD36" i="27"/>
  <c r="AB36" i="27"/>
  <c r="AA36" i="27"/>
  <c r="Z36" i="27"/>
  <c r="Y36" i="27"/>
  <c r="X36" i="27"/>
  <c r="W36" i="27"/>
  <c r="V36" i="27"/>
  <c r="U36" i="27"/>
  <c r="T36" i="27"/>
  <c r="S36" i="27"/>
  <c r="R36" i="27"/>
  <c r="Q36" i="27"/>
  <c r="P36" i="27"/>
  <c r="O36" i="27"/>
  <c r="N36" i="27"/>
  <c r="M36" i="27"/>
  <c r="G36" i="27"/>
  <c r="D36" i="27"/>
  <c r="AD35" i="27" a="1"/>
  <c r="AD35" i="27"/>
  <c r="AB35" i="27"/>
  <c r="AA35" i="27"/>
  <c r="Z35" i="27"/>
  <c r="Y35" i="27"/>
  <c r="X35" i="27"/>
  <c r="W35" i="27"/>
  <c r="V35" i="27"/>
  <c r="U35" i="27"/>
  <c r="T35" i="27"/>
  <c r="S35" i="27"/>
  <c r="R35" i="27"/>
  <c r="Q35" i="27"/>
  <c r="G35" i="27"/>
  <c r="AD34" i="27" a="1"/>
  <c r="AD34" i="27" s="1"/>
  <c r="AB34" i="27"/>
  <c r="AA34" i="27"/>
  <c r="Z34" i="27"/>
  <c r="Y34" i="27"/>
  <c r="X34" i="27"/>
  <c r="W34" i="27"/>
  <c r="V34" i="27"/>
  <c r="U34" i="27"/>
  <c r="T34" i="27"/>
  <c r="S34" i="27"/>
  <c r="R34" i="27"/>
  <c r="Q34" i="27"/>
  <c r="P34" i="27"/>
  <c r="O34" i="27"/>
  <c r="N34" i="27"/>
  <c r="M34" i="27"/>
  <c r="G34" i="27"/>
  <c r="D34" i="27"/>
  <c r="AD33" i="27" a="1"/>
  <c r="AD33" i="27" s="1"/>
  <c r="AB33" i="27"/>
  <c r="AA33" i="27"/>
  <c r="Z33" i="27"/>
  <c r="Y33" i="27"/>
  <c r="X33" i="27"/>
  <c r="W33" i="27"/>
  <c r="V33" i="27"/>
  <c r="U33" i="27"/>
  <c r="T33" i="27"/>
  <c r="S33" i="27"/>
  <c r="R33" i="27"/>
  <c r="Q33" i="27"/>
  <c r="P33" i="27"/>
  <c r="O33" i="27"/>
  <c r="N33" i="27"/>
  <c r="M33" i="27"/>
  <c r="AD32" i="27" a="1"/>
  <c r="AD32" i="27" s="1"/>
  <c r="AB32" i="27"/>
  <c r="AA32" i="27"/>
  <c r="Z32" i="27"/>
  <c r="Y32" i="27"/>
  <c r="X32" i="27"/>
  <c r="W32" i="27"/>
  <c r="V32" i="27"/>
  <c r="U32" i="27"/>
  <c r="T32" i="27"/>
  <c r="S32" i="27"/>
  <c r="R32" i="27"/>
  <c r="Q32" i="27"/>
  <c r="P32" i="27"/>
  <c r="O32" i="27"/>
  <c r="N32" i="27"/>
  <c r="M32" i="27"/>
  <c r="G32" i="27"/>
  <c r="F32" i="27"/>
  <c r="AD31" i="27" a="1"/>
  <c r="AD31" i="27"/>
  <c r="AB31" i="27"/>
  <c r="AA31" i="27"/>
  <c r="Z31" i="27"/>
  <c r="Y31" i="27"/>
  <c r="X31" i="27"/>
  <c r="W31" i="27"/>
  <c r="V31" i="27"/>
  <c r="U31" i="27"/>
  <c r="T31" i="27"/>
  <c r="S31" i="27"/>
  <c r="R31" i="27"/>
  <c r="Q31" i="27"/>
  <c r="P31" i="27"/>
  <c r="O31" i="27"/>
  <c r="N31" i="27"/>
  <c r="M31" i="27"/>
  <c r="G31" i="27"/>
  <c r="F31" i="27"/>
  <c r="D31" i="27"/>
  <c r="AD30" i="27" a="1"/>
  <c r="AD30" i="27"/>
  <c r="AB30" i="27"/>
  <c r="AA30" i="27"/>
  <c r="Z30" i="27"/>
  <c r="Y30" i="27"/>
  <c r="X30" i="27"/>
  <c r="W30" i="27"/>
  <c r="V30" i="27"/>
  <c r="U30" i="27"/>
  <c r="T30" i="27"/>
  <c r="S30" i="27"/>
  <c r="R30" i="27"/>
  <c r="Q30" i="27"/>
  <c r="P30" i="27"/>
  <c r="O30" i="27"/>
  <c r="N30" i="27"/>
  <c r="M30" i="27"/>
  <c r="G30" i="27"/>
  <c r="AD29" i="27" a="1"/>
  <c r="AD29" i="27"/>
  <c r="AB29" i="27"/>
  <c r="AA29" i="27"/>
  <c r="Z29" i="27"/>
  <c r="Y29" i="27"/>
  <c r="X29" i="27"/>
  <c r="W29" i="27"/>
  <c r="V29" i="27"/>
  <c r="U29" i="27"/>
  <c r="T29" i="27"/>
  <c r="S29" i="27"/>
  <c r="R29" i="27"/>
  <c r="Q29" i="27"/>
  <c r="P29" i="27"/>
  <c r="O29" i="27"/>
  <c r="N29" i="27"/>
  <c r="M29" i="27"/>
  <c r="G29" i="27"/>
  <c r="AD28" i="27" a="1"/>
  <c r="AD28" i="27" s="1"/>
  <c r="AB28" i="27"/>
  <c r="AA28" i="27"/>
  <c r="Z28" i="27"/>
  <c r="Y28" i="27"/>
  <c r="X28" i="27"/>
  <c r="W28" i="27"/>
  <c r="V28" i="27"/>
  <c r="U28" i="27"/>
  <c r="T28" i="27"/>
  <c r="S28" i="27"/>
  <c r="R28" i="27"/>
  <c r="Q28" i="27"/>
  <c r="P28" i="27"/>
  <c r="O28" i="27"/>
  <c r="N28" i="27"/>
  <c r="M28" i="27"/>
  <c r="G28" i="27"/>
  <c r="AD27" i="27" a="1"/>
  <c r="AD27" i="27"/>
  <c r="AB27" i="27"/>
  <c r="AA27" i="27"/>
  <c r="Z27" i="27"/>
  <c r="Y27" i="27"/>
  <c r="X27" i="27"/>
  <c r="W27" i="27"/>
  <c r="V27" i="27"/>
  <c r="U27" i="27"/>
  <c r="T27" i="27"/>
  <c r="S27" i="27"/>
  <c r="R27" i="27"/>
  <c r="Q27" i="27"/>
  <c r="P27" i="27"/>
  <c r="O27" i="27"/>
  <c r="N27" i="27"/>
  <c r="M27" i="27"/>
  <c r="AD26" i="27" a="1"/>
  <c r="AD26" i="27"/>
  <c r="AB26" i="27"/>
  <c r="AA26" i="27"/>
  <c r="Z26" i="27"/>
  <c r="Y26" i="27"/>
  <c r="X26" i="27"/>
  <c r="W26" i="27"/>
  <c r="V26" i="27"/>
  <c r="U26" i="27"/>
  <c r="T26" i="27"/>
  <c r="S26" i="27"/>
  <c r="R26" i="27"/>
  <c r="Q26" i="27"/>
  <c r="P26" i="27"/>
  <c r="O26" i="27"/>
  <c r="N26" i="27"/>
  <c r="M26" i="27"/>
  <c r="G26" i="27"/>
  <c r="D26" i="27"/>
  <c r="C26" i="27"/>
  <c r="AN25" i="27"/>
  <c r="AD25" i="27" a="1"/>
  <c r="AD25" i="27"/>
  <c r="AB25" i="27"/>
  <c r="AA25" i="27"/>
  <c r="Z25" i="27"/>
  <c r="Y25" i="27"/>
  <c r="X25" i="27"/>
  <c r="W25" i="27"/>
  <c r="V25" i="27"/>
  <c r="U25" i="27"/>
  <c r="T25" i="27"/>
  <c r="S25" i="27"/>
  <c r="R25" i="27"/>
  <c r="Q25" i="27"/>
  <c r="P25" i="27"/>
  <c r="O25" i="27"/>
  <c r="N25" i="27"/>
  <c r="M25" i="27"/>
  <c r="G25" i="27"/>
  <c r="AD24" i="27" a="1"/>
  <c r="AD24" i="27" s="1"/>
  <c r="AB24" i="27"/>
  <c r="AA24" i="27"/>
  <c r="Z24" i="27"/>
  <c r="Y24" i="27"/>
  <c r="X24" i="27"/>
  <c r="W24" i="27"/>
  <c r="V24" i="27"/>
  <c r="U24" i="27"/>
  <c r="T24" i="27"/>
  <c r="S24" i="27"/>
  <c r="R24" i="27"/>
  <c r="Q24" i="27"/>
  <c r="P24" i="27"/>
  <c r="O24" i="27"/>
  <c r="G24" i="27"/>
  <c r="AN23" i="27"/>
  <c r="AD23" i="27" a="1"/>
  <c r="AD23" i="27" s="1"/>
  <c r="AB23" i="27"/>
  <c r="AA23" i="27"/>
  <c r="Z23" i="27"/>
  <c r="Y23" i="27"/>
  <c r="X23" i="27"/>
  <c r="W23" i="27"/>
  <c r="V23" i="27"/>
  <c r="U23" i="27"/>
  <c r="T23" i="27"/>
  <c r="S23" i="27"/>
  <c r="R23" i="27"/>
  <c r="Q23" i="27"/>
  <c r="P23" i="27"/>
  <c r="O23" i="27"/>
  <c r="N23" i="27"/>
  <c r="M23" i="27"/>
  <c r="G23" i="27"/>
  <c r="AN22" i="27"/>
  <c r="AD22" i="27" a="1"/>
  <c r="AD22" i="27"/>
  <c r="AB22" i="27"/>
  <c r="AA22" i="27"/>
  <c r="Z22" i="27"/>
  <c r="Y22" i="27"/>
  <c r="X22" i="27"/>
  <c r="W22" i="27"/>
  <c r="V22" i="27"/>
  <c r="U22" i="27"/>
  <c r="T22" i="27"/>
  <c r="S22" i="27"/>
  <c r="R22" i="27"/>
  <c r="Q22" i="27"/>
  <c r="P22" i="27"/>
  <c r="O22" i="27"/>
  <c r="N22" i="27"/>
  <c r="M22" i="27"/>
  <c r="G22" i="27"/>
  <c r="AO21" i="27"/>
  <c r="AN21" i="27"/>
  <c r="AD21" i="27" a="1"/>
  <c r="AD21" i="27"/>
  <c r="AB21" i="27"/>
  <c r="AA21" i="27"/>
  <c r="Z21" i="27"/>
  <c r="Y21" i="27"/>
  <c r="X21" i="27"/>
  <c r="W21" i="27"/>
  <c r="V21" i="27"/>
  <c r="U21" i="27"/>
  <c r="T21" i="27"/>
  <c r="S21" i="27"/>
  <c r="R21" i="27"/>
  <c r="Q21" i="27"/>
  <c r="P21" i="27"/>
  <c r="O21" i="27"/>
  <c r="N21" i="27"/>
  <c r="M21" i="27"/>
  <c r="G21" i="27"/>
  <c r="AN20" i="27"/>
  <c r="AD20" i="27" a="1"/>
  <c r="AD20" i="27" s="1"/>
  <c r="AB20" i="27"/>
  <c r="AA20" i="27"/>
  <c r="Z20" i="27"/>
  <c r="Y20" i="27"/>
  <c r="X20" i="27"/>
  <c r="W20" i="27"/>
  <c r="V20" i="27"/>
  <c r="U20" i="27"/>
  <c r="T20" i="27"/>
  <c r="S20" i="27"/>
  <c r="R20" i="27"/>
  <c r="Q20" i="27"/>
  <c r="P20" i="27"/>
  <c r="O20" i="27"/>
  <c r="N20" i="27"/>
  <c r="M20" i="27"/>
  <c r="AD19" i="27" a="1"/>
  <c r="AD19" i="27"/>
  <c r="AB19" i="27"/>
  <c r="AA19" i="27"/>
  <c r="Z19" i="27"/>
  <c r="Y19" i="27"/>
  <c r="X19" i="27"/>
  <c r="W19" i="27"/>
  <c r="V19" i="27"/>
  <c r="U19" i="27"/>
  <c r="T19" i="27"/>
  <c r="S19" i="27"/>
  <c r="R19" i="27"/>
  <c r="Q19" i="27"/>
  <c r="P19" i="27"/>
  <c r="O19" i="27"/>
  <c r="N19" i="27"/>
  <c r="M19" i="27"/>
  <c r="G19" i="27"/>
  <c r="AN18" i="27"/>
  <c r="AE18" i="27"/>
  <c r="AD18" i="27" a="1"/>
  <c r="AD18" i="27"/>
  <c r="AB18" i="27"/>
  <c r="AA18" i="27"/>
  <c r="Z18" i="27"/>
  <c r="Y18" i="27"/>
  <c r="X18" i="27"/>
  <c r="W18" i="27"/>
  <c r="V18" i="27"/>
  <c r="U18" i="27"/>
  <c r="T18" i="27"/>
  <c r="S18" i="27"/>
  <c r="R18" i="27"/>
  <c r="Q18" i="27"/>
  <c r="P18" i="27"/>
  <c r="O18" i="27"/>
  <c r="N18" i="27"/>
  <c r="M18" i="27"/>
  <c r="G18" i="27"/>
  <c r="AD17" i="27" a="1"/>
  <c r="AD17" i="27"/>
  <c r="AB17" i="27"/>
  <c r="AA17" i="27"/>
  <c r="Z17" i="27"/>
  <c r="Y17" i="27"/>
  <c r="X17" i="27"/>
  <c r="W17" i="27"/>
  <c r="V17" i="27"/>
  <c r="U17" i="27"/>
  <c r="T17" i="27"/>
  <c r="S17" i="27"/>
  <c r="R17" i="27"/>
  <c r="Q17" i="27"/>
  <c r="P17" i="27"/>
  <c r="O17" i="27"/>
  <c r="N17" i="27"/>
  <c r="M17" i="27"/>
  <c r="G17" i="27"/>
  <c r="AD16" i="27" a="1"/>
  <c r="AD16" i="27" s="1"/>
  <c r="AB16" i="27"/>
  <c r="AA16" i="27"/>
  <c r="Z16" i="27"/>
  <c r="Y16" i="27"/>
  <c r="X16" i="27"/>
  <c r="W16" i="27"/>
  <c r="V16" i="27"/>
  <c r="U16" i="27"/>
  <c r="T16" i="27"/>
  <c r="S16" i="27"/>
  <c r="R16" i="27"/>
  <c r="Q16" i="27"/>
  <c r="P16" i="27"/>
  <c r="O16" i="27"/>
  <c r="N16" i="27"/>
  <c r="M16" i="27"/>
  <c r="G16" i="27"/>
  <c r="AO15" i="27"/>
  <c r="AD15" i="27" a="1"/>
  <c r="AD15" i="27" s="1"/>
  <c r="AB15" i="27"/>
  <c r="AA15" i="27"/>
  <c r="Z15" i="27"/>
  <c r="Y15" i="27"/>
  <c r="X15" i="27"/>
  <c r="W15" i="27"/>
  <c r="V15" i="27"/>
  <c r="U15" i="27"/>
  <c r="T15" i="27"/>
  <c r="S15" i="27"/>
  <c r="R15" i="27"/>
  <c r="Q15" i="27"/>
  <c r="P15" i="27"/>
  <c r="O15" i="27"/>
  <c r="N15" i="27"/>
  <c r="M15" i="27"/>
  <c r="G15" i="27"/>
  <c r="AO14" i="27"/>
  <c r="AD14" i="27" a="1"/>
  <c r="AD14" i="27"/>
  <c r="AB14" i="27"/>
  <c r="AA14" i="27"/>
  <c r="Z14" i="27"/>
  <c r="Y14" i="27"/>
  <c r="X14" i="27"/>
  <c r="W14" i="27"/>
  <c r="V14" i="27"/>
  <c r="U14" i="27"/>
  <c r="T14" i="27"/>
  <c r="S14" i="27"/>
  <c r="R14" i="27"/>
  <c r="Q14" i="27"/>
  <c r="P14" i="27"/>
  <c r="O14" i="27"/>
  <c r="N14" i="27"/>
  <c r="M14" i="27"/>
  <c r="AO13" i="27"/>
  <c r="AD13" i="27" a="1"/>
  <c r="AD13" i="27" s="1"/>
  <c r="AB13" i="27"/>
  <c r="AA13" i="27"/>
  <c r="Z13" i="27"/>
  <c r="Y13" i="27"/>
  <c r="X13" i="27"/>
  <c r="W13" i="27"/>
  <c r="V13" i="27"/>
  <c r="U13" i="27"/>
  <c r="T13" i="27"/>
  <c r="S13" i="27"/>
  <c r="R13" i="27"/>
  <c r="Q13" i="27"/>
  <c r="P13" i="27"/>
  <c r="O13" i="27"/>
  <c r="N13" i="27"/>
  <c r="M13" i="27"/>
  <c r="G13" i="27"/>
  <c r="AO12" i="27"/>
  <c r="AE12" i="27"/>
  <c r="AD12" i="27" a="1"/>
  <c r="AD12" i="27"/>
  <c r="AB12" i="27"/>
  <c r="AA12" i="27"/>
  <c r="Z12" i="27"/>
  <c r="Y12" i="27"/>
  <c r="X12" i="27"/>
  <c r="W12" i="27"/>
  <c r="V12" i="27"/>
  <c r="U12" i="27"/>
  <c r="T12" i="27"/>
  <c r="S12" i="27"/>
  <c r="R12" i="27"/>
  <c r="Q12" i="27"/>
  <c r="P12" i="27"/>
  <c r="O12" i="27"/>
  <c r="N12" i="27"/>
  <c r="M12" i="27"/>
  <c r="G12" i="27"/>
  <c r="AO11" i="27"/>
  <c r="AD11" i="27" a="1"/>
  <c r="AD11" i="27" s="1"/>
  <c r="AB11" i="27"/>
  <c r="AA11" i="27"/>
  <c r="Z11" i="27"/>
  <c r="Y11" i="27"/>
  <c r="X11" i="27"/>
  <c r="W11" i="27"/>
  <c r="V11" i="27"/>
  <c r="U11" i="27"/>
  <c r="T11" i="27"/>
  <c r="S11" i="27"/>
  <c r="R11" i="27"/>
  <c r="Q11" i="27"/>
  <c r="P11" i="27"/>
  <c r="O11" i="27"/>
  <c r="N11" i="27"/>
  <c r="M11" i="27"/>
  <c r="G11" i="27"/>
  <c r="F11" i="27"/>
  <c r="AM10" i="27"/>
  <c r="AO10" i="27" s="1"/>
  <c r="AI10" i="27"/>
  <c r="AE10" i="27"/>
  <c r="AD10" i="27" a="1"/>
  <c r="AD10" i="27" s="1"/>
  <c r="AB10" i="27"/>
  <c r="AA10" i="27"/>
  <c r="Z10" i="27"/>
  <c r="Y10" i="27"/>
  <c r="X10" i="27"/>
  <c r="W10" i="27"/>
  <c r="V10" i="27"/>
  <c r="G10" i="27"/>
  <c r="F10" i="27"/>
  <c r="AN9" i="27"/>
  <c r="AM9" i="27"/>
  <c r="AO9" i="27" s="1"/>
  <c r="AE9" i="27"/>
  <c r="AD9" i="27" a="1"/>
  <c r="AD9" i="27"/>
  <c r="AB9" i="27"/>
  <c r="AA9" i="27"/>
  <c r="Z9" i="27"/>
  <c r="Y9" i="27"/>
  <c r="X9" i="27"/>
  <c r="W9" i="27"/>
  <c r="V9" i="27"/>
  <c r="U9" i="27"/>
  <c r="T9" i="27"/>
  <c r="S9" i="27"/>
  <c r="R9" i="27"/>
  <c r="Q9" i="27"/>
  <c r="P9" i="27"/>
  <c r="O9" i="27"/>
  <c r="N9" i="27"/>
  <c r="G9" i="27"/>
  <c r="AM8" i="27"/>
  <c r="AO8" i="27" s="1"/>
  <c r="AD8" i="27" a="1"/>
  <c r="AD8" i="27"/>
  <c r="AB8" i="27"/>
  <c r="AA8" i="27"/>
  <c r="Z8" i="27"/>
  <c r="Y8" i="27"/>
  <c r="X8" i="27"/>
  <c r="W8" i="27"/>
  <c r="V8" i="27"/>
  <c r="U8" i="27"/>
  <c r="T8" i="27"/>
  <c r="G8" i="27"/>
  <c r="AM7" i="27"/>
  <c r="AI7" i="27"/>
  <c r="AD7" i="27" a="1"/>
  <c r="AD7" i="27"/>
  <c r="AB7" i="27"/>
  <c r="AA7" i="27"/>
  <c r="Z7" i="27"/>
  <c r="Y7" i="27"/>
  <c r="X7" i="27"/>
  <c r="W7" i="27"/>
  <c r="V7" i="27"/>
  <c r="U7" i="27"/>
  <c r="T7" i="27"/>
  <c r="S7" i="27"/>
  <c r="R7" i="27"/>
  <c r="Q7" i="27"/>
  <c r="G7" i="27"/>
  <c r="AM6" i="27"/>
  <c r="AO6" i="27" s="1"/>
  <c r="AE6" i="27"/>
  <c r="AD6" i="27" a="1"/>
  <c r="AD6" i="27" s="1"/>
  <c r="AB6" i="27"/>
  <c r="AA6" i="27"/>
  <c r="Z6" i="27"/>
  <c r="Y6" i="27"/>
  <c r="X6" i="27"/>
  <c r="W6" i="27"/>
  <c r="V6" i="27"/>
  <c r="U6" i="27"/>
  <c r="T6" i="27"/>
  <c r="S6" i="27"/>
  <c r="R6" i="27"/>
  <c r="AM5" i="27"/>
  <c r="AN5" i="27" s="1"/>
  <c r="AE5" i="27"/>
  <c r="AD5" i="27" a="1"/>
  <c r="AD5" i="27" s="1"/>
  <c r="AB5" i="27"/>
  <c r="AA5" i="27"/>
  <c r="Z5" i="27"/>
  <c r="Y5" i="27"/>
  <c r="X5" i="27"/>
  <c r="W5" i="27"/>
  <c r="V5" i="27"/>
  <c r="U5" i="27"/>
  <c r="T5" i="27"/>
  <c r="S5" i="27"/>
  <c r="I5" i="27"/>
  <c r="G5" i="27"/>
  <c r="D5" i="27"/>
  <c r="AM4" i="27"/>
  <c r="AK5" i="27" s="1"/>
  <c r="AJ4" i="27"/>
  <c r="AI4" i="27"/>
  <c r="AG4" i="27"/>
  <c r="D42" i="27" s="1"/>
  <c r="AD4" i="27" a="1"/>
  <c r="AD4" i="27"/>
  <c r="AB4" i="27"/>
  <c r="AA4" i="27"/>
  <c r="Z4" i="27"/>
  <c r="Y4" i="27"/>
  <c r="X4" i="27"/>
  <c r="W4" i="27"/>
  <c r="V4" i="27"/>
  <c r="U4" i="27"/>
  <c r="T4" i="27"/>
  <c r="S4" i="27"/>
  <c r="G4" i="27"/>
  <c r="AO3" i="27"/>
  <c r="AN3" i="27"/>
  <c r="AM3" i="27"/>
  <c r="AG3" i="27"/>
  <c r="AD3" i="27" a="1"/>
  <c r="AD3" i="27"/>
  <c r="AB3" i="27"/>
  <c r="AA3" i="27"/>
  <c r="Z3" i="27"/>
  <c r="Y3" i="27"/>
  <c r="X3" i="27"/>
  <c r="W3" i="27"/>
  <c r="V3" i="27"/>
  <c r="I3" i="27"/>
  <c r="G3" i="27"/>
  <c r="AM2" i="27"/>
  <c r="AG2" i="27"/>
  <c r="AE2" i="27"/>
  <c r="AD2" i="27" a="1"/>
  <c r="AD2" i="27" s="1"/>
  <c r="AB2" i="27"/>
  <c r="AA2" i="27"/>
  <c r="Z2" i="27"/>
  <c r="Y2" i="27"/>
  <c r="X2" i="27"/>
  <c r="W2" i="27"/>
  <c r="V2" i="27"/>
  <c r="U2" i="27"/>
  <c r="T2" i="27"/>
  <c r="S2" i="27"/>
  <c r="R2" i="27"/>
  <c r="Q2" i="27"/>
  <c r="K39" i="16"/>
  <c r="K40" i="16" s="1"/>
  <c r="J39" i="16"/>
  <c r="K38" i="16"/>
  <c r="J38" i="16"/>
  <c r="W36" i="16"/>
  <c r="W35" i="16"/>
  <c r="T35" i="16"/>
  <c r="W34" i="16"/>
  <c r="W33" i="16"/>
  <c r="W32" i="16"/>
  <c r="W31" i="16"/>
  <c r="T31" i="16"/>
  <c r="W30" i="16"/>
  <c r="T30" i="16"/>
  <c r="W29" i="16"/>
  <c r="T29" i="16"/>
  <c r="L29" i="16"/>
  <c r="W28" i="16"/>
  <c r="L28" i="16"/>
  <c r="W27" i="16"/>
  <c r="W26" i="16"/>
  <c r="W25" i="16"/>
  <c r="V25" i="16"/>
  <c r="W24" i="16"/>
  <c r="V24" i="16"/>
  <c r="W23" i="16"/>
  <c r="V23" i="16"/>
  <c r="W22" i="16"/>
  <c r="E22" i="16"/>
  <c r="F22" i="16" s="1"/>
  <c r="AB21" i="16"/>
  <c r="AA21" i="16"/>
  <c r="Z21" i="16"/>
  <c r="Y21" i="16"/>
  <c r="W21" i="16"/>
  <c r="E21" i="16"/>
  <c r="F21" i="16" s="1"/>
  <c r="E20" i="16"/>
  <c r="F20" i="16" s="1"/>
  <c r="E19" i="16"/>
  <c r="F19" i="16" s="1"/>
  <c r="E18" i="16"/>
  <c r="F18" i="16" s="1"/>
  <c r="F17" i="16"/>
  <c r="V16" i="16"/>
  <c r="U16" i="16"/>
  <c r="V15" i="16"/>
  <c r="U15" i="16"/>
  <c r="T15" i="16"/>
  <c r="V14" i="16"/>
  <c r="U14" i="16"/>
  <c r="V13" i="16"/>
  <c r="U13" i="16"/>
  <c r="V12" i="16"/>
  <c r="U12" i="16"/>
  <c r="Z6" i="16"/>
  <c r="Y6" i="16"/>
  <c r="X6" i="16"/>
  <c r="V6" i="16"/>
  <c r="U6" i="16"/>
  <c r="AA6" i="16" s="1"/>
  <c r="AB6" i="16" s="1"/>
  <c r="Z5" i="16"/>
  <c r="U5" i="16"/>
  <c r="W5" i="16" s="1"/>
  <c r="T5" i="16"/>
  <c r="Z4" i="16"/>
  <c r="U4" i="16"/>
  <c r="W4" i="16" s="1"/>
  <c r="AA3" i="16"/>
  <c r="AB3" i="16" s="1"/>
  <c r="Z3" i="16"/>
  <c r="Y3" i="16"/>
  <c r="X3" i="16"/>
  <c r="W3" i="16"/>
  <c r="U3" i="16"/>
  <c r="V3" i="16" s="1"/>
  <c r="AA2" i="16"/>
  <c r="AB2" i="16" s="1"/>
  <c r="Z2" i="16"/>
  <c r="Y2" i="16"/>
  <c r="X2" i="16"/>
  <c r="W2" i="16"/>
  <c r="V2" i="16"/>
  <c r="U2" i="16"/>
  <c r="L2" i="16"/>
  <c r="L1" i="16"/>
  <c r="D230" i="18"/>
  <c r="E230" i="18" s="1"/>
  <c r="D229" i="18"/>
  <c r="E229" i="18" s="1"/>
  <c r="D228" i="18"/>
  <c r="E228" i="18" s="1"/>
  <c r="D227" i="18"/>
  <c r="E227" i="18" s="1"/>
  <c r="D226" i="18"/>
  <c r="E226" i="18" s="1"/>
  <c r="D225" i="18"/>
  <c r="E225" i="18" s="1"/>
  <c r="D224" i="18"/>
  <c r="E224" i="18" s="1"/>
  <c r="D223" i="18"/>
  <c r="E223" i="18" s="1"/>
  <c r="D222" i="18"/>
  <c r="E222" i="18" s="1"/>
  <c r="D221" i="18"/>
  <c r="E221" i="18" s="1"/>
  <c r="E153" i="18"/>
  <c r="E152" i="18"/>
  <c r="E151" i="18"/>
  <c r="E150" i="18"/>
  <c r="E149" i="18"/>
  <c r="E148" i="18"/>
  <c r="E147" i="18"/>
  <c r="E146" i="18"/>
  <c r="E145" i="18"/>
  <c r="E144" i="18"/>
  <c r="E143" i="18"/>
  <c r="E142" i="18"/>
  <c r="E139" i="18"/>
  <c r="E138" i="18"/>
  <c r="E137" i="18"/>
  <c r="E136" i="18"/>
  <c r="E135" i="18"/>
  <c r="E134" i="18"/>
  <c r="E133" i="18"/>
  <c r="E130" i="18"/>
  <c r="E129" i="18"/>
  <c r="E128" i="18"/>
  <c r="E127" i="18"/>
  <c r="E126" i="18"/>
  <c r="E125" i="18"/>
  <c r="E123" i="18"/>
  <c r="E122" i="18"/>
  <c r="E121" i="18"/>
  <c r="E120" i="18"/>
  <c r="E119" i="18"/>
  <c r="E118" i="18"/>
  <c r="E117" i="18"/>
  <c r="E116" i="18"/>
  <c r="E113" i="18"/>
  <c r="E112" i="18"/>
  <c r="E111" i="18"/>
  <c r="E110" i="18"/>
  <c r="E109" i="18"/>
  <c r="E108" i="18"/>
  <c r="E106" i="18"/>
  <c r="E105" i="18"/>
  <c r="E104" i="18"/>
  <c r="E103" i="18"/>
  <c r="E102" i="18"/>
  <c r="E101" i="18"/>
  <c r="E100" i="18"/>
  <c r="E97" i="18"/>
  <c r="E96" i="18"/>
  <c r="E95" i="18"/>
  <c r="E94" i="18"/>
  <c r="E93" i="18"/>
  <c r="E92" i="18"/>
  <c r="E91" i="18"/>
  <c r="E90" i="18"/>
  <c r="E88" i="18"/>
  <c r="E87" i="18"/>
  <c r="E86" i="18"/>
  <c r="E85" i="18"/>
  <c r="E84" i="18"/>
  <c r="E83" i="18"/>
  <c r="E82" i="18"/>
  <c r="E81" i="18"/>
  <c r="E80" i="18"/>
  <c r="E78" i="18"/>
  <c r="E77" i="18"/>
  <c r="E76" i="18"/>
  <c r="E75" i="18"/>
  <c r="E74" i="18"/>
  <c r="E73" i="18"/>
  <c r="E71" i="18"/>
  <c r="E70" i="18"/>
  <c r="E69" i="18"/>
  <c r="E68" i="18"/>
  <c r="E67" i="18"/>
  <c r="E66" i="18"/>
  <c r="E65" i="18"/>
  <c r="E64" i="18"/>
  <c r="E63" i="18"/>
  <c r="E62" i="18"/>
  <c r="E61" i="18"/>
  <c r="E60" i="18"/>
  <c r="BB56" i="18"/>
  <c r="BC56" i="18" s="1"/>
  <c r="BC55" i="18"/>
  <c r="BB55" i="18"/>
  <c r="BB54" i="18"/>
  <c r="BC54" i="18" s="1"/>
  <c r="BB53" i="18"/>
  <c r="BC53" i="18" s="1"/>
  <c r="BB52" i="18"/>
  <c r="BC52" i="18" s="1"/>
  <c r="BB51" i="18"/>
  <c r="BC51" i="18" s="1"/>
  <c r="BB50" i="18"/>
  <c r="BC50" i="18" s="1"/>
  <c r="BC49" i="18"/>
  <c r="BB49" i="18"/>
  <c r="E49" i="18"/>
  <c r="BB48" i="18"/>
  <c r="BC48" i="18" s="1"/>
  <c r="E48" i="18"/>
  <c r="D48" i="18"/>
  <c r="BB47" i="18"/>
  <c r="BC47" i="18" s="1"/>
  <c r="E47" i="18"/>
  <c r="D47" i="18"/>
  <c r="BB46" i="18"/>
  <c r="BC46" i="18" s="1"/>
  <c r="E46" i="18"/>
  <c r="D46" i="18"/>
  <c r="BB45" i="18"/>
  <c r="BC45" i="18" s="1"/>
  <c r="E45" i="18"/>
  <c r="D45" i="18"/>
  <c r="BC44" i="18"/>
  <c r="BB44" i="18"/>
  <c r="E44" i="18"/>
  <c r="D44" i="18"/>
  <c r="BB43" i="18"/>
  <c r="BC43" i="18" s="1"/>
  <c r="E43" i="18"/>
  <c r="D43" i="18"/>
  <c r="BC42" i="18"/>
  <c r="BB42" i="18"/>
  <c r="BB41" i="18"/>
  <c r="BC41" i="18" s="1"/>
  <c r="BB40" i="18"/>
  <c r="BC40" i="18" s="1"/>
  <c r="BC39" i="18"/>
  <c r="BB39" i="18"/>
  <c r="BB38" i="18"/>
  <c r="BC38" i="18" s="1"/>
  <c r="BC37" i="18"/>
  <c r="BB37" i="18"/>
  <c r="BB36" i="18"/>
  <c r="BC36" i="18" s="1"/>
  <c r="BB35" i="18"/>
  <c r="BC35" i="18" s="1"/>
  <c r="BB34" i="18"/>
  <c r="BC34" i="18" s="1"/>
  <c r="BB33" i="18"/>
  <c r="BC33" i="18" s="1"/>
  <c r="BB32" i="18"/>
  <c r="BC32" i="18" s="1"/>
  <c r="BB31" i="18"/>
  <c r="BC31" i="18" s="1"/>
  <c r="BB30" i="18"/>
  <c r="BC30" i="18" s="1"/>
  <c r="AW27" i="18"/>
  <c r="BA27" i="18" s="1"/>
  <c r="BA26" i="18"/>
  <c r="AW30" i="18" s="1"/>
  <c r="AZ26" i="18"/>
  <c r="AY26" i="18"/>
  <c r="AX26" i="18"/>
  <c r="AW26" i="18"/>
  <c r="BC22" i="18"/>
  <c r="BB22" i="18"/>
  <c r="BA22" i="18"/>
  <c r="AZ22" i="18"/>
  <c r="AA17" i="18"/>
  <c r="Y17" i="18"/>
  <c r="W17" i="18"/>
  <c r="U17" i="18"/>
  <c r="Y16" i="18"/>
  <c r="W16" i="18"/>
  <c r="U16" i="18"/>
  <c r="Y15" i="18"/>
  <c r="W15" i="18"/>
  <c r="U15" i="18"/>
  <c r="AA14" i="18"/>
  <c r="Y14" i="18"/>
  <c r="W14" i="18"/>
  <c r="U14" i="18"/>
  <c r="AA13" i="18"/>
  <c r="Y13" i="18"/>
  <c r="U13" i="18"/>
  <c r="AI12" i="18"/>
  <c r="AA12" i="18"/>
  <c r="Y12" i="18"/>
  <c r="U12" i="18"/>
  <c r="Y11" i="18"/>
  <c r="W11" i="18"/>
  <c r="U11" i="18"/>
  <c r="Y10" i="18"/>
  <c r="W10" i="18"/>
  <c r="U10" i="18"/>
  <c r="Y9" i="18"/>
  <c r="W9" i="18"/>
  <c r="U9" i="18"/>
  <c r="Y8" i="18"/>
  <c r="W8" i="18"/>
  <c r="U8" i="18"/>
  <c r="AL7" i="18"/>
  <c r="Y7" i="18"/>
  <c r="U7" i="18"/>
  <c r="AL6" i="18"/>
  <c r="AF6" i="18"/>
  <c r="AA6" i="18"/>
  <c r="Y6" i="18"/>
  <c r="W6" i="18"/>
  <c r="U5" i="18"/>
  <c r="AL4" i="18"/>
  <c r="AK4" i="18"/>
  <c r="AJ4" i="18"/>
  <c r="AI4" i="18"/>
  <c r="AE4" i="18"/>
  <c r="AF4" i="18" s="1"/>
  <c r="Y4" i="18"/>
  <c r="W4" i="18"/>
  <c r="U4" i="18"/>
  <c r="AL3" i="18"/>
  <c r="AK3" i="18"/>
  <c r="AJ3" i="18"/>
  <c r="AI6" i="18" s="1"/>
  <c r="AE3" i="18"/>
  <c r="AF3" i="18" s="1"/>
  <c r="AA3" i="18"/>
  <c r="Y3" i="18"/>
  <c r="W3" i="18"/>
  <c r="U3" i="18"/>
  <c r="AL2" i="18"/>
  <c r="AK2" i="18"/>
  <c r="AJ2" i="18"/>
  <c r="AE2" i="18"/>
  <c r="Z2" i="18"/>
  <c r="Y2" i="18"/>
  <c r="X2" i="18"/>
  <c r="Y5" i="18" s="1"/>
  <c r="V2" i="18"/>
  <c r="U2" i="18"/>
  <c r="T2" i="18"/>
  <c r="U6" i="18" s="1"/>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F301" i="10" s="1"/>
  <c r="B300" i="10"/>
  <c r="F300" i="10" s="1"/>
  <c r="B299" i="10"/>
  <c r="B298" i="10"/>
  <c r="C298" i="10" s="1"/>
  <c r="B297" i="10"/>
  <c r="F297" i="10" s="1"/>
  <c r="F296" i="10"/>
  <c r="D296" i="10"/>
  <c r="B296" i="10"/>
  <c r="C296" i="10" s="1"/>
  <c r="F295" i="10"/>
  <c r="D295" i="10"/>
  <c r="C295" i="10"/>
  <c r="B295" i="10"/>
  <c r="B294" i="10"/>
  <c r="D294" i="10" s="1"/>
  <c r="B293" i="10"/>
  <c r="B292" i="10"/>
  <c r="F292" i="10" s="1"/>
  <c r="F291" i="10"/>
  <c r="D291" i="10"/>
  <c r="B291" i="10"/>
  <c r="C291" i="10" s="1"/>
  <c r="B290" i="10"/>
  <c r="C290" i="10" s="1"/>
  <c r="B289" i="10"/>
  <c r="F289" i="10" s="1"/>
  <c r="B288" i="10"/>
  <c r="B287" i="10"/>
  <c r="B286" i="10"/>
  <c r="D286" i="10" s="1"/>
  <c r="B285" i="10"/>
  <c r="F285" i="10" s="1"/>
  <c r="B284" i="10"/>
  <c r="F284" i="10" s="1"/>
  <c r="F283" i="10"/>
  <c r="C283" i="10"/>
  <c r="B283" i="10"/>
  <c r="D283" i="10" s="1"/>
  <c r="B282" i="10"/>
  <c r="B281" i="10"/>
  <c r="F281" i="10" s="1"/>
  <c r="B280" i="10"/>
  <c r="F280" i="10" s="1"/>
  <c r="F279" i="10"/>
  <c r="D279" i="10"/>
  <c r="B279" i="10"/>
  <c r="C279" i="10" s="1"/>
  <c r="F278" i="10"/>
  <c r="B278" i="10"/>
  <c r="D278" i="10" s="1"/>
  <c r="B277" i="10"/>
  <c r="F276" i="10"/>
  <c r="D276" i="10"/>
  <c r="C276" i="10"/>
  <c r="B276" i="10"/>
  <c r="F275" i="10"/>
  <c r="D275" i="10"/>
  <c r="C275" i="10"/>
  <c r="B275" i="10"/>
  <c r="F274" i="10"/>
  <c r="D274" i="10"/>
  <c r="B274" i="10"/>
  <c r="C274" i="10" s="1"/>
  <c r="B273" i="10"/>
  <c r="F273" i="10" s="1"/>
  <c r="B272" i="10"/>
  <c r="F271" i="10"/>
  <c r="D271" i="10"/>
  <c r="B271" i="10"/>
  <c r="C271" i="10" s="1"/>
  <c r="B270" i="10"/>
  <c r="B269" i="10"/>
  <c r="F269" i="10" s="1"/>
  <c r="F268" i="10"/>
  <c r="D268" i="10"/>
  <c r="B268" i="10"/>
  <c r="C268" i="10" s="1"/>
  <c r="B267" i="10"/>
  <c r="F267" i="10" s="1"/>
  <c r="B266" i="10"/>
  <c r="B265" i="10"/>
  <c r="F264" i="10"/>
  <c r="D264" i="10"/>
  <c r="B264" i="10"/>
  <c r="C264" i="10" s="1"/>
  <c r="B263" i="10"/>
  <c r="F262" i="10"/>
  <c r="C262" i="10"/>
  <c r="B262" i="10"/>
  <c r="D262" i="10" s="1"/>
  <c r="B261" i="10"/>
  <c r="F261" i="10" s="1"/>
  <c r="B260" i="10"/>
  <c r="F260" i="10" s="1"/>
  <c r="F259" i="10"/>
  <c r="D259" i="10"/>
  <c r="C259" i="10"/>
  <c r="B259" i="10"/>
  <c r="B258" i="10"/>
  <c r="C258" i="10" s="1"/>
  <c r="F257" i="10"/>
  <c r="D257" i="10"/>
  <c r="C257" i="10"/>
  <c r="B257" i="10"/>
  <c r="B256" i="10"/>
  <c r="F256" i="10" s="1"/>
  <c r="F255" i="10"/>
  <c r="D255" i="10"/>
  <c r="B255" i="10"/>
  <c r="C255" i="10" s="1"/>
  <c r="B254" i="10"/>
  <c r="D254" i="10" s="1"/>
  <c r="B253" i="10"/>
  <c r="B252" i="10"/>
  <c r="F252" i="10" s="1"/>
  <c r="B251" i="10"/>
  <c r="F251" i="10" s="1"/>
  <c r="B250" i="10"/>
  <c r="C250" i="10" s="1"/>
  <c r="B249" i="10"/>
  <c r="F249" i="10" s="1"/>
  <c r="B248" i="10"/>
  <c r="F247" i="10"/>
  <c r="D247" i="10"/>
  <c r="B247" i="10"/>
  <c r="C247" i="10" s="1"/>
  <c r="C246" i="10"/>
  <c r="B246" i="10"/>
  <c r="F245" i="10"/>
  <c r="D245" i="10"/>
  <c r="C245" i="10"/>
  <c r="B245" i="10"/>
  <c r="B244" i="10"/>
  <c r="C244" i="10" s="1"/>
  <c r="F243" i="10"/>
  <c r="D243" i="10"/>
  <c r="B243" i="10"/>
  <c r="C243" i="10" s="1"/>
  <c r="B242" i="10"/>
  <c r="C242" i="10" s="1"/>
  <c r="B241" i="10"/>
  <c r="F240" i="10"/>
  <c r="D240" i="10"/>
  <c r="C240" i="10"/>
  <c r="B240" i="10"/>
  <c r="D239" i="10"/>
  <c r="B239" i="10"/>
  <c r="F239" i="10" s="1"/>
  <c r="B238" i="10"/>
  <c r="D238" i="10" s="1"/>
  <c r="B237" i="10"/>
  <c r="F236" i="10"/>
  <c r="B236" i="10"/>
  <c r="B235" i="10"/>
  <c r="B234" i="10"/>
  <c r="F233" i="10"/>
  <c r="D233" i="10"/>
  <c r="C233" i="10"/>
  <c r="B233" i="10"/>
  <c r="B232" i="10"/>
  <c r="F232" i="10" s="1"/>
  <c r="B231" i="10"/>
  <c r="F231" i="10" s="1"/>
  <c r="B230" i="10"/>
  <c r="B229" i="10"/>
  <c r="F229" i="10" s="1"/>
  <c r="F228" i="10"/>
  <c r="D228" i="10"/>
  <c r="C228" i="10"/>
  <c r="B228" i="10"/>
  <c r="D227" i="10"/>
  <c r="B227" i="10"/>
  <c r="F227" i="10" s="1"/>
  <c r="D226" i="10"/>
  <c r="B226" i="10"/>
  <c r="C226" i="10" s="1"/>
  <c r="C225" i="10"/>
  <c r="B225" i="10"/>
  <c r="B224" i="10"/>
  <c r="F224" i="10" s="1"/>
  <c r="F223" i="10"/>
  <c r="D223" i="10"/>
  <c r="C223" i="10"/>
  <c r="B223" i="10"/>
  <c r="B222" i="10"/>
  <c r="B221" i="10"/>
  <c r="C221" i="10" s="1"/>
  <c r="B220" i="10"/>
  <c r="F220" i="10" s="1"/>
  <c r="B219" i="10"/>
  <c r="F219" i="10" s="1"/>
  <c r="B218" i="10"/>
  <c r="C218" i="10" s="1"/>
  <c r="F217" i="10"/>
  <c r="D217" i="10"/>
  <c r="B217" i="10"/>
  <c r="C217" i="10" s="1"/>
  <c r="B216" i="10"/>
  <c r="B215" i="10"/>
  <c r="C215" i="10" s="1"/>
  <c r="F214" i="10"/>
  <c r="B214" i="10"/>
  <c r="D214" i="10" s="1"/>
  <c r="B213" i="10"/>
  <c r="F213" i="10" s="1"/>
  <c r="F212" i="10"/>
  <c r="D212" i="10"/>
  <c r="B212" i="10"/>
  <c r="C212" i="10" s="1"/>
  <c r="F211" i="10"/>
  <c r="D211" i="10"/>
  <c r="C211" i="10"/>
  <c r="B211" i="10"/>
  <c r="B210" i="10"/>
  <c r="F209" i="10"/>
  <c r="D209" i="10"/>
  <c r="B209" i="10"/>
  <c r="C209" i="10" s="1"/>
  <c r="F208" i="10"/>
  <c r="D208" i="10"/>
  <c r="B208" i="10"/>
  <c r="C208" i="10" s="1"/>
  <c r="B207" i="10"/>
  <c r="F206" i="10"/>
  <c r="C206" i="10"/>
  <c r="B206" i="10"/>
  <c r="D206" i="10" s="1"/>
  <c r="B205" i="10"/>
  <c r="B204" i="10"/>
  <c r="F204" i="10" s="1"/>
  <c r="B203" i="10"/>
  <c r="F203" i="10" s="1"/>
  <c r="F202" i="10"/>
  <c r="B202" i="10"/>
  <c r="C202" i="10" s="1"/>
  <c r="B201" i="10"/>
  <c r="F201" i="10" s="1"/>
  <c r="B200" i="10"/>
  <c r="F200" i="10" s="1"/>
  <c r="F199" i="10"/>
  <c r="D199" i="10"/>
  <c r="C199" i="10"/>
  <c r="B199" i="10"/>
  <c r="B198" i="10"/>
  <c r="D198" i="10" s="1"/>
  <c r="F197" i="10"/>
  <c r="D197" i="10"/>
  <c r="B197" i="10"/>
  <c r="C197" i="10" s="1"/>
  <c r="F196" i="10"/>
  <c r="D196" i="10"/>
  <c r="C196" i="10"/>
  <c r="B196" i="10"/>
  <c r="B195" i="10"/>
  <c r="F194" i="10"/>
  <c r="B194" i="10"/>
  <c r="C194" i="10" s="1"/>
  <c r="B193" i="10"/>
  <c r="C193" i="10" s="1"/>
  <c r="F192" i="10"/>
  <c r="D192" i="10"/>
  <c r="C192" i="10"/>
  <c r="B192" i="10"/>
  <c r="B191" i="10"/>
  <c r="F191" i="10" s="1"/>
  <c r="B190" i="10"/>
  <c r="D190" i="10" s="1"/>
  <c r="F189" i="10"/>
  <c r="C189" i="10"/>
  <c r="B189" i="10"/>
  <c r="D189" i="10" s="1"/>
  <c r="B188" i="10"/>
  <c r="F187" i="10"/>
  <c r="D187" i="10"/>
  <c r="C187" i="10"/>
  <c r="B187" i="10"/>
  <c r="B186" i="10"/>
  <c r="C186" i="10" s="1"/>
  <c r="F185" i="10"/>
  <c r="D185" i="10"/>
  <c r="B185" i="10"/>
  <c r="C185" i="10" s="1"/>
  <c r="B184" i="10"/>
  <c r="D184" i="10" s="1"/>
  <c r="B183" i="10"/>
  <c r="F182" i="10"/>
  <c r="C182" i="10"/>
  <c r="B182" i="10"/>
  <c r="D182" i="10" s="1"/>
  <c r="B181" i="10"/>
  <c r="F181" i="10" s="1"/>
  <c r="F180" i="10"/>
  <c r="D180" i="10"/>
  <c r="B180" i="10"/>
  <c r="C180" i="10" s="1"/>
  <c r="B179" i="10"/>
  <c r="B178" i="10"/>
  <c r="C178" i="10" s="1"/>
  <c r="B177" i="10"/>
  <c r="B176" i="10"/>
  <c r="F175" i="10"/>
  <c r="B175" i="10"/>
  <c r="D175" i="10" s="1"/>
  <c r="F174" i="10"/>
  <c r="B174" i="10"/>
  <c r="D174" i="10" s="1"/>
  <c r="B173" i="10"/>
  <c r="F173" i="10" s="1"/>
  <c r="F172" i="10"/>
  <c r="D172" i="10"/>
  <c r="C172" i="10"/>
  <c r="B172" i="10"/>
  <c r="B171" i="10"/>
  <c r="F170" i="10"/>
  <c r="B170" i="10"/>
  <c r="C170" i="10" s="1"/>
  <c r="B169" i="10"/>
  <c r="F168" i="10"/>
  <c r="D168" i="10"/>
  <c r="B168" i="10"/>
  <c r="C168" i="10" s="1"/>
  <c r="B167" i="10"/>
  <c r="D167" i="10" s="1"/>
  <c r="B166" i="10"/>
  <c r="D166" i="10" s="1"/>
  <c r="F165" i="10"/>
  <c r="D165" i="10"/>
  <c r="B165" i="10"/>
  <c r="C165" i="10" s="1"/>
  <c r="B164" i="10"/>
  <c r="F163" i="10"/>
  <c r="D163" i="10"/>
  <c r="B163" i="10"/>
  <c r="C163" i="10" s="1"/>
  <c r="B162" i="10"/>
  <c r="C162" i="10" s="1"/>
  <c r="F161" i="10"/>
  <c r="D161" i="10"/>
  <c r="B161" i="10"/>
  <c r="C161" i="10" s="1"/>
  <c r="B160" i="10"/>
  <c r="B159" i="10"/>
  <c r="B158" i="10"/>
  <c r="D158" i="10" s="1"/>
  <c r="B157" i="10"/>
  <c r="F156" i="10"/>
  <c r="C156" i="10"/>
  <c r="B156" i="10"/>
  <c r="D156" i="10" s="1"/>
  <c r="F155" i="10"/>
  <c r="D155" i="10"/>
  <c r="B155" i="10"/>
  <c r="C155" i="10" s="1"/>
  <c r="B154" i="10"/>
  <c r="B153" i="10"/>
  <c r="F153" i="10" s="1"/>
  <c r="B152" i="10"/>
  <c r="F151" i="10"/>
  <c r="D151" i="10"/>
  <c r="B151" i="10"/>
  <c r="C151" i="10" s="1"/>
  <c r="B150" i="10"/>
  <c r="B149" i="10"/>
  <c r="B148" i="10"/>
  <c r="F148" i="10" s="1"/>
  <c r="B147" i="10"/>
  <c r="F147" i="10" s="1"/>
  <c r="F146" i="10"/>
  <c r="D146" i="10"/>
  <c r="B146" i="10"/>
  <c r="C146" i="10" s="1"/>
  <c r="D145" i="10"/>
  <c r="B145" i="10"/>
  <c r="F145" i="10" s="1"/>
  <c r="C144" i="10"/>
  <c r="B144" i="10"/>
  <c r="F144" i="10" s="1"/>
  <c r="B143" i="10"/>
  <c r="F143" i="10" s="1"/>
  <c r="B142" i="10"/>
  <c r="B141" i="10"/>
  <c r="F140" i="10"/>
  <c r="B140" i="10"/>
  <c r="D140" i="10" s="1"/>
  <c r="B139" i="10"/>
  <c r="F138" i="10"/>
  <c r="D138" i="10"/>
  <c r="B138" i="10"/>
  <c r="C138" i="10" s="1"/>
  <c r="B137" i="10"/>
  <c r="B136" i="10"/>
  <c r="F135" i="10"/>
  <c r="D135" i="10"/>
  <c r="C135" i="10"/>
  <c r="B135" i="10"/>
  <c r="AR134" i="10"/>
  <c r="D134" i="10"/>
  <c r="B134" i="10"/>
  <c r="F134" i="10" s="1"/>
  <c r="AR133" i="10"/>
  <c r="F133" i="10"/>
  <c r="D133" i="10"/>
  <c r="B133" i="10"/>
  <c r="C133" i="10" s="1"/>
  <c r="AR132" i="10"/>
  <c r="D132" i="10"/>
  <c r="B132" i="10"/>
  <c r="F132" i="10" s="1"/>
  <c r="AR131" i="10"/>
  <c r="B131" i="10"/>
  <c r="C131" i="10" s="1"/>
  <c r="AR130" i="10"/>
  <c r="F130" i="10"/>
  <c r="D130" i="10"/>
  <c r="B130" i="10"/>
  <c r="C130" i="10" s="1"/>
  <c r="AR129" i="10"/>
  <c r="F129" i="10"/>
  <c r="D129" i="10"/>
  <c r="B129" i="10"/>
  <c r="C129" i="10" s="1"/>
  <c r="AR128" i="10"/>
  <c r="B128" i="10"/>
  <c r="C128" i="10" s="1"/>
  <c r="AR127" i="10"/>
  <c r="B127" i="10"/>
  <c r="AR126" i="10"/>
  <c r="C126" i="10"/>
  <c r="B126" i="10"/>
  <c r="AR125" i="10"/>
  <c r="B125" i="10"/>
  <c r="B124" i="10"/>
  <c r="F124" i="10" s="1"/>
  <c r="AR123" i="10"/>
  <c r="F123" i="10"/>
  <c r="D123" i="10"/>
  <c r="B123" i="10"/>
  <c r="C123" i="10" s="1"/>
  <c r="AR122" i="10"/>
  <c r="B122" i="10"/>
  <c r="AR121" i="10"/>
  <c r="C121" i="10"/>
  <c r="B121" i="10"/>
  <c r="F121" i="10" s="1"/>
  <c r="AR120" i="10"/>
  <c r="B120" i="10"/>
  <c r="F119" i="10"/>
  <c r="D119" i="10"/>
  <c r="B119" i="10"/>
  <c r="C119" i="10" s="1"/>
  <c r="F118" i="10"/>
  <c r="D118" i="10"/>
  <c r="B118" i="10"/>
  <c r="C118" i="10" s="1"/>
  <c r="C117" i="10"/>
  <c r="B117" i="10"/>
  <c r="F117" i="10" s="1"/>
  <c r="B116" i="10"/>
  <c r="F116" i="10" s="1"/>
  <c r="F115" i="10"/>
  <c r="B115" i="10"/>
  <c r="F114" i="10"/>
  <c r="D114" i="10"/>
  <c r="C114" i="10"/>
  <c r="B114" i="10"/>
  <c r="B113" i="10"/>
  <c r="F113" i="10" s="1"/>
  <c r="F112" i="10"/>
  <c r="D112" i="10"/>
  <c r="B112" i="10"/>
  <c r="C112" i="10" s="1"/>
  <c r="B111" i="10"/>
  <c r="F110" i="10"/>
  <c r="C110" i="10"/>
  <c r="B110" i="10"/>
  <c r="D110" i="10" s="1"/>
  <c r="B109" i="10"/>
  <c r="F109" i="10" s="1"/>
  <c r="F108" i="10"/>
  <c r="C108" i="10"/>
  <c r="B108" i="10"/>
  <c r="D108" i="10" s="1"/>
  <c r="F107" i="10"/>
  <c r="D107" i="10"/>
  <c r="B107" i="10"/>
  <c r="C107" i="10" s="1"/>
  <c r="F106" i="10"/>
  <c r="D106" i="10"/>
  <c r="C106" i="10"/>
  <c r="B106" i="10"/>
  <c r="F105" i="10"/>
  <c r="D105" i="10"/>
  <c r="C105" i="10"/>
  <c r="B105" i="10"/>
  <c r="F104" i="10"/>
  <c r="D104" i="10"/>
  <c r="C104" i="10"/>
  <c r="B104" i="10"/>
  <c r="B103" i="10"/>
  <c r="B102" i="10"/>
  <c r="D101" i="10"/>
  <c r="C101" i="10"/>
  <c r="B101" i="10"/>
  <c r="F101" i="10" s="1"/>
  <c r="B100" i="10"/>
  <c r="F100" i="10" s="1"/>
  <c r="F99" i="10"/>
  <c r="D99" i="10"/>
  <c r="C99" i="10"/>
  <c r="B99" i="10"/>
  <c r="F98" i="10"/>
  <c r="D98" i="10"/>
  <c r="C98" i="10"/>
  <c r="B98" i="10"/>
  <c r="B97" i="10"/>
  <c r="C97" i="10" s="1"/>
  <c r="F96" i="10"/>
  <c r="D96" i="10"/>
  <c r="B96" i="10"/>
  <c r="C96" i="10" s="1"/>
  <c r="B95" i="10"/>
  <c r="C95" i="10" s="1"/>
  <c r="B94" i="10"/>
  <c r="F94" i="10" s="1"/>
  <c r="B93" i="10"/>
  <c r="F93" i="10" s="1"/>
  <c r="B92" i="10"/>
  <c r="F91" i="10"/>
  <c r="D91" i="10"/>
  <c r="C91" i="10"/>
  <c r="B91" i="10"/>
  <c r="F90" i="10"/>
  <c r="D90" i="10"/>
  <c r="C90" i="10"/>
  <c r="B90" i="10"/>
  <c r="B89" i="10"/>
  <c r="F89" i="10" s="1"/>
  <c r="B88" i="10"/>
  <c r="F87" i="10"/>
  <c r="B87" i="10"/>
  <c r="B86" i="10"/>
  <c r="F86" i="10" s="1"/>
  <c r="B85" i="10"/>
  <c r="F85" i="10" s="1"/>
  <c r="F84" i="10"/>
  <c r="D84" i="10"/>
  <c r="C84" i="10"/>
  <c r="B84" i="10"/>
  <c r="B83" i="10"/>
  <c r="F83" i="10" s="1"/>
  <c r="F82" i="10"/>
  <c r="D82" i="10"/>
  <c r="C82" i="10"/>
  <c r="B82" i="10"/>
  <c r="B81" i="10"/>
  <c r="F80" i="10"/>
  <c r="D80" i="10"/>
  <c r="C80" i="10"/>
  <c r="B80" i="10"/>
  <c r="F79" i="10"/>
  <c r="D79" i="10"/>
  <c r="B79" i="10"/>
  <c r="C79" i="10" s="1"/>
  <c r="F78" i="10"/>
  <c r="D78" i="10"/>
  <c r="C78" i="10"/>
  <c r="B78" i="10"/>
  <c r="B77" i="10"/>
  <c r="F77" i="10" s="1"/>
  <c r="B76" i="10"/>
  <c r="F76" i="10" s="1"/>
  <c r="B75" i="10"/>
  <c r="F75" i="10" s="1"/>
  <c r="F74" i="10"/>
  <c r="D74" i="10"/>
  <c r="C74" i="10"/>
  <c r="B74" i="10"/>
  <c r="B73" i="10"/>
  <c r="F73" i="10" s="1"/>
  <c r="AJ72" i="10"/>
  <c r="F72" i="10"/>
  <c r="B72" i="10"/>
  <c r="D72" i="10" s="1"/>
  <c r="AJ71" i="10"/>
  <c r="B71" i="10"/>
  <c r="AJ70" i="10"/>
  <c r="B70" i="10"/>
  <c r="C70" i="10" s="1"/>
  <c r="AJ69" i="10"/>
  <c r="F69" i="10"/>
  <c r="D69" i="10"/>
  <c r="B69" i="10"/>
  <c r="C69" i="10" s="1"/>
  <c r="AJ68" i="10"/>
  <c r="H68" i="10"/>
  <c r="F68" i="10"/>
  <c r="D68" i="10"/>
  <c r="C68" i="10"/>
  <c r="B68" i="10"/>
  <c r="AJ67" i="10"/>
  <c r="J67" i="10"/>
  <c r="I67" i="10"/>
  <c r="H67" i="10"/>
  <c r="B67" i="10"/>
  <c r="AJ66" i="10"/>
  <c r="H66" i="10"/>
  <c r="J66" i="10" s="1"/>
  <c r="B66" i="10"/>
  <c r="AJ65" i="10"/>
  <c r="H65" i="10"/>
  <c r="J65" i="10" s="1"/>
  <c r="B65" i="10"/>
  <c r="F65" i="10" s="1"/>
  <c r="AJ64" i="10"/>
  <c r="J64" i="10"/>
  <c r="I64" i="10"/>
  <c r="H64" i="10"/>
  <c r="F64" i="10"/>
  <c r="D64" i="10"/>
  <c r="C64" i="10"/>
  <c r="B64" i="10"/>
  <c r="AJ63" i="10"/>
  <c r="H63" i="10"/>
  <c r="J63" i="10" s="1"/>
  <c r="F63" i="10"/>
  <c r="C63" i="10"/>
  <c r="B63" i="10"/>
  <c r="D63" i="10" s="1"/>
  <c r="AJ62" i="10"/>
  <c r="H62" i="10"/>
  <c r="J62" i="10" s="1"/>
  <c r="B62" i="10"/>
  <c r="AJ61" i="10"/>
  <c r="H61" i="10"/>
  <c r="J61" i="10" s="1"/>
  <c r="F61" i="10"/>
  <c r="D61" i="10"/>
  <c r="C61" i="10"/>
  <c r="B61" i="10"/>
  <c r="AJ60" i="10"/>
  <c r="H60" i="10"/>
  <c r="J60" i="10" s="1"/>
  <c r="F60" i="10"/>
  <c r="D60" i="10"/>
  <c r="C60" i="10"/>
  <c r="B60" i="10"/>
  <c r="AJ59" i="10"/>
  <c r="H59" i="10"/>
  <c r="F59" i="10"/>
  <c r="D59" i="10"/>
  <c r="C59" i="10"/>
  <c r="B59" i="10"/>
  <c r="AJ58" i="10"/>
  <c r="H58" i="10"/>
  <c r="B58" i="10"/>
  <c r="C58" i="10" s="1"/>
  <c r="AJ57" i="10"/>
  <c r="H57" i="10"/>
  <c r="J57" i="10" s="1"/>
  <c r="F57" i="10"/>
  <c r="B57" i="10"/>
  <c r="D57" i="10" s="1"/>
  <c r="AJ56" i="10"/>
  <c r="H56" i="10"/>
  <c r="J56" i="10" s="1"/>
  <c r="F56" i="10"/>
  <c r="D56" i="10"/>
  <c r="C56" i="10"/>
  <c r="B56" i="10"/>
  <c r="AJ55" i="10"/>
  <c r="J55" i="10"/>
  <c r="H55" i="10"/>
  <c r="I55" i="10" s="1"/>
  <c r="B55" i="10"/>
  <c r="J54" i="10"/>
  <c r="H54" i="10"/>
  <c r="I54" i="10" s="1"/>
  <c r="B54" i="10"/>
  <c r="H53" i="10"/>
  <c r="I53" i="10" s="1"/>
  <c r="F53" i="10"/>
  <c r="D53" i="10"/>
  <c r="C53" i="10"/>
  <c r="B53" i="10"/>
  <c r="H52" i="10"/>
  <c r="J52" i="10" s="1"/>
  <c r="F52" i="10"/>
  <c r="B52" i="10"/>
  <c r="D52" i="10" s="1"/>
  <c r="J51" i="10"/>
  <c r="I51" i="10"/>
  <c r="H51" i="10"/>
  <c r="B51" i="10"/>
  <c r="H50" i="10"/>
  <c r="J50" i="10" s="1"/>
  <c r="F50" i="10"/>
  <c r="D50" i="10"/>
  <c r="B50" i="10"/>
  <c r="C50" i="10" s="1"/>
  <c r="J49" i="10"/>
  <c r="I49" i="10"/>
  <c r="H49" i="10"/>
  <c r="B49" i="10"/>
  <c r="H48" i="10"/>
  <c r="B48" i="10"/>
  <c r="F48" i="10" s="1"/>
  <c r="H47" i="10"/>
  <c r="J47" i="10" s="1"/>
  <c r="F47" i="10"/>
  <c r="D47" i="10"/>
  <c r="C47" i="10"/>
  <c r="B47" i="10"/>
  <c r="J46" i="10"/>
  <c r="H46" i="10"/>
  <c r="I46" i="10" s="1"/>
  <c r="B46" i="10"/>
  <c r="I45" i="10"/>
  <c r="H45" i="10"/>
  <c r="J45" i="10" s="1"/>
  <c r="B45" i="10"/>
  <c r="F45" i="10" s="1"/>
  <c r="J44" i="10"/>
  <c r="I44" i="10"/>
  <c r="H44" i="10"/>
  <c r="B44" i="10"/>
  <c r="F44" i="10" s="1"/>
  <c r="H43" i="10"/>
  <c r="B43" i="10"/>
  <c r="F43" i="10" s="1"/>
  <c r="H42" i="10"/>
  <c r="J42" i="10" s="1"/>
  <c r="D42" i="10"/>
  <c r="C42" i="10"/>
  <c r="B42" i="10"/>
  <c r="F42" i="10" s="1"/>
  <c r="H41" i="10"/>
  <c r="J41" i="10" s="1"/>
  <c r="F41" i="10"/>
  <c r="B41" i="10"/>
  <c r="D41" i="10" s="1"/>
  <c r="J40" i="10"/>
  <c r="I40" i="10"/>
  <c r="H40" i="10"/>
  <c r="F40" i="10"/>
  <c r="D40" i="10"/>
  <c r="C40" i="10"/>
  <c r="B40" i="10"/>
  <c r="Y39" i="10"/>
  <c r="X39" i="10"/>
  <c r="W39" i="10"/>
  <c r="V39" i="10"/>
  <c r="H39" i="10"/>
  <c r="B39" i="10"/>
  <c r="AL38" i="10"/>
  <c r="Y38" i="10"/>
  <c r="X38" i="10"/>
  <c r="W38" i="10"/>
  <c r="V38" i="10"/>
  <c r="J38" i="10"/>
  <c r="H38" i="10"/>
  <c r="I38" i="10" s="1"/>
  <c r="B38" i="10"/>
  <c r="C38" i="10" s="1"/>
  <c r="AL37" i="10"/>
  <c r="Y37" i="10"/>
  <c r="X37" i="10"/>
  <c r="W37" i="10"/>
  <c r="V37" i="10"/>
  <c r="J37" i="10"/>
  <c r="I37" i="10"/>
  <c r="H37" i="10"/>
  <c r="C37" i="10"/>
  <c r="B37" i="10"/>
  <c r="AL36" i="10"/>
  <c r="Y36" i="10"/>
  <c r="X36" i="10"/>
  <c r="W36" i="10"/>
  <c r="V36" i="10"/>
  <c r="H36" i="10"/>
  <c r="J36" i="10" s="1"/>
  <c r="F36" i="10"/>
  <c r="D36" i="10"/>
  <c r="C36" i="10"/>
  <c r="B36" i="10"/>
  <c r="AL35" i="10"/>
  <c r="Y35" i="10"/>
  <c r="X35" i="10"/>
  <c r="W35" i="10"/>
  <c r="V35" i="10"/>
  <c r="H35" i="10"/>
  <c r="B35" i="10"/>
  <c r="F35" i="10" s="1"/>
  <c r="AL34" i="10"/>
  <c r="Y34" i="10"/>
  <c r="X34" i="10"/>
  <c r="W34" i="10"/>
  <c r="V34" i="10"/>
  <c r="H34" i="10"/>
  <c r="J34" i="10" s="1"/>
  <c r="F34" i="10"/>
  <c r="D34" i="10"/>
  <c r="C34" i="10"/>
  <c r="B34" i="10"/>
  <c r="AL33" i="10"/>
  <c r="Y33" i="10"/>
  <c r="X33" i="10"/>
  <c r="W33" i="10"/>
  <c r="V33" i="10"/>
  <c r="J33" i="10"/>
  <c r="I33" i="10"/>
  <c r="H33" i="10"/>
  <c r="F33" i="10"/>
  <c r="D33" i="10"/>
  <c r="C33" i="10"/>
  <c r="B33" i="10"/>
  <c r="AL32" i="10"/>
  <c r="Y32" i="10"/>
  <c r="X32" i="10"/>
  <c r="W32" i="10"/>
  <c r="V32" i="10"/>
  <c r="H32" i="10"/>
  <c r="I32" i="10" s="1"/>
  <c r="F32" i="10"/>
  <c r="D32" i="10"/>
  <c r="B32" i="10"/>
  <c r="C32" i="10" s="1"/>
  <c r="AL31" i="10"/>
  <c r="Y31" i="10"/>
  <c r="X31" i="10"/>
  <c r="W31" i="10"/>
  <c r="V31" i="10"/>
  <c r="J31" i="10"/>
  <c r="I31" i="10"/>
  <c r="H31" i="10"/>
  <c r="B31" i="10"/>
  <c r="AL30" i="10"/>
  <c r="Y30" i="10"/>
  <c r="X30" i="10"/>
  <c r="W30" i="10"/>
  <c r="V30" i="10"/>
  <c r="J30" i="10"/>
  <c r="I30" i="10"/>
  <c r="H30" i="10"/>
  <c r="B30" i="10"/>
  <c r="F30" i="10" s="1"/>
  <c r="AL29" i="10"/>
  <c r="I29" i="10"/>
  <c r="H29" i="10"/>
  <c r="J29" i="10" s="1"/>
  <c r="D29" i="10"/>
  <c r="C29" i="10"/>
  <c r="B29" i="10"/>
  <c r="F29" i="10" s="1"/>
  <c r="AL28" i="10"/>
  <c r="Y28" i="10"/>
  <c r="X28" i="10"/>
  <c r="W28" i="10"/>
  <c r="V28" i="10"/>
  <c r="H28" i="10"/>
  <c r="J28" i="10" s="1"/>
  <c r="B28" i="10"/>
  <c r="F28" i="10" s="1"/>
  <c r="AL27" i="10"/>
  <c r="Y27" i="10"/>
  <c r="X27" i="10"/>
  <c r="W27" i="10"/>
  <c r="V27" i="10"/>
  <c r="J27" i="10"/>
  <c r="I27" i="10"/>
  <c r="H27" i="10"/>
  <c r="B27" i="10"/>
  <c r="F27" i="10" s="1"/>
  <c r="AL26" i="10"/>
  <c r="Y26" i="10"/>
  <c r="X26" i="10"/>
  <c r="W26" i="10"/>
  <c r="V26" i="10"/>
  <c r="H26" i="10"/>
  <c r="J26" i="10" s="1"/>
  <c r="B26" i="10"/>
  <c r="AL25" i="10"/>
  <c r="Y25" i="10"/>
  <c r="X25" i="10"/>
  <c r="W25" i="10"/>
  <c r="V25" i="10"/>
  <c r="H25" i="10"/>
  <c r="J25" i="10" s="1"/>
  <c r="F25" i="10"/>
  <c r="D25" i="10"/>
  <c r="C25" i="10"/>
  <c r="B25" i="10"/>
  <c r="AL24" i="10"/>
  <c r="Y24" i="10"/>
  <c r="X24" i="10"/>
  <c r="W24" i="10"/>
  <c r="V24" i="10"/>
  <c r="J24" i="10"/>
  <c r="H24" i="10"/>
  <c r="I24" i="10" s="1"/>
  <c r="B24" i="10"/>
  <c r="AL23" i="10"/>
  <c r="AI23" i="10"/>
  <c r="Y23" i="10"/>
  <c r="X23" i="10"/>
  <c r="W23" i="10"/>
  <c r="V23" i="10"/>
  <c r="H23" i="10"/>
  <c r="J23" i="10" s="1"/>
  <c r="B23" i="10"/>
  <c r="F23" i="10" s="1"/>
  <c r="AU22" i="10"/>
  <c r="AP22" i="10"/>
  <c r="AO22" i="10"/>
  <c r="Y22" i="10"/>
  <c r="X22" i="10"/>
  <c r="W22" i="10"/>
  <c r="V22" i="10"/>
  <c r="H22" i="10"/>
  <c r="J22" i="10" s="1"/>
  <c r="F22" i="10"/>
  <c r="B22" i="10"/>
  <c r="D22" i="10" s="1"/>
  <c r="AP21" i="10"/>
  <c r="AU21" i="10" s="1"/>
  <c r="AO21" i="10"/>
  <c r="Y21" i="10"/>
  <c r="X21" i="10"/>
  <c r="W21" i="10"/>
  <c r="V21" i="10"/>
  <c r="J21" i="10"/>
  <c r="I21" i="10"/>
  <c r="H21" i="10"/>
  <c r="B21" i="10"/>
  <c r="AP20" i="10"/>
  <c r="AU20" i="10" s="1"/>
  <c r="AO20" i="10"/>
  <c r="Y20" i="10"/>
  <c r="X20" i="10"/>
  <c r="W20" i="10"/>
  <c r="V20" i="10"/>
  <c r="J20" i="10"/>
  <c r="I20" i="10"/>
  <c r="H20" i="10"/>
  <c r="D20" i="10"/>
  <c r="B20" i="10"/>
  <c r="F20" i="10" s="1"/>
  <c r="AP19" i="10"/>
  <c r="AU19" i="10" s="1"/>
  <c r="AO19" i="10"/>
  <c r="Y19" i="10"/>
  <c r="X19" i="10"/>
  <c r="W19" i="10"/>
  <c r="V19" i="10"/>
  <c r="J19" i="10"/>
  <c r="H19" i="10"/>
  <c r="I19" i="10" s="1"/>
  <c r="F19" i="10"/>
  <c r="D19" i="10"/>
  <c r="C19" i="10"/>
  <c r="B19" i="10"/>
  <c r="AU18" i="10"/>
  <c r="AP18" i="10"/>
  <c r="AO18" i="10"/>
  <c r="H18" i="10"/>
  <c r="I18" i="10" s="1"/>
  <c r="B18" i="10"/>
  <c r="F18" i="10" s="1"/>
  <c r="AP17" i="10"/>
  <c r="AU17" i="10" s="1"/>
  <c r="AO17" i="10"/>
  <c r="H17" i="10"/>
  <c r="I17" i="10" s="1"/>
  <c r="F17" i="10"/>
  <c r="C17" i="10"/>
  <c r="B17" i="10"/>
  <c r="D17" i="10" s="1"/>
  <c r="AU16" i="10"/>
  <c r="AP16" i="10"/>
  <c r="AO16" i="10"/>
  <c r="H16" i="10"/>
  <c r="B16" i="10"/>
  <c r="C16" i="10" s="1"/>
  <c r="AU15" i="10"/>
  <c r="AP15" i="10"/>
  <c r="AO15" i="10"/>
  <c r="J15" i="10"/>
  <c r="H15" i="10"/>
  <c r="I15" i="10" s="1"/>
  <c r="B15" i="10"/>
  <c r="F15" i="10" s="1"/>
  <c r="AP14" i="10"/>
  <c r="AU14" i="10" s="1"/>
  <c r="AO14" i="10"/>
  <c r="L14" i="10"/>
  <c r="J14" i="10"/>
  <c r="I14" i="10"/>
  <c r="H14" i="10"/>
  <c r="F14" i="10"/>
  <c r="D14" i="10"/>
  <c r="C14" i="10"/>
  <c r="B14" i="10"/>
  <c r="AU13" i="10"/>
  <c r="AP13" i="10"/>
  <c r="AO13" i="10"/>
  <c r="AJ13" i="10"/>
  <c r="M13" i="10"/>
  <c r="H13" i="10"/>
  <c r="J13" i="10" s="1"/>
  <c r="B13" i="10"/>
  <c r="AJ12" i="10"/>
  <c r="M12" i="10"/>
  <c r="J12" i="10"/>
  <c r="H12" i="10"/>
  <c r="I12" i="10" s="1"/>
  <c r="C12" i="10"/>
  <c r="B12" i="10"/>
  <c r="AU11" i="10"/>
  <c r="AP11" i="10"/>
  <c r="AO11" i="10"/>
  <c r="AJ11" i="10"/>
  <c r="M11" i="10"/>
  <c r="H11" i="10"/>
  <c r="B11" i="10"/>
  <c r="AP10" i="10"/>
  <c r="AU10" i="10" s="1"/>
  <c r="AO10" i="10"/>
  <c r="AJ10" i="10"/>
  <c r="H10" i="10"/>
  <c r="J10" i="10" s="1"/>
  <c r="B10" i="10"/>
  <c r="F10" i="10" s="1"/>
  <c r="AP9" i="10"/>
  <c r="AU9" i="10" s="1"/>
  <c r="AO9" i="10"/>
  <c r="AJ9" i="10"/>
  <c r="J9" i="10"/>
  <c r="H9" i="10"/>
  <c r="I9" i="10" s="1"/>
  <c r="B9" i="10"/>
  <c r="AU8" i="10"/>
  <c r="AP8" i="10"/>
  <c r="AO8" i="10"/>
  <c r="H8" i="10"/>
  <c r="J8" i="10" s="1"/>
  <c r="B8" i="10"/>
  <c r="AP7" i="10"/>
  <c r="AU7" i="10" s="1"/>
  <c r="AO7" i="10"/>
  <c r="J7" i="10"/>
  <c r="I7" i="10"/>
  <c r="H7" i="10"/>
  <c r="B7" i="10"/>
  <c r="F7" i="10" s="1"/>
  <c r="AP6" i="10"/>
  <c r="AU6" i="10" s="1"/>
  <c r="AO6" i="10"/>
  <c r="H6" i="10"/>
  <c r="J6" i="10" s="1"/>
  <c r="B6" i="10"/>
  <c r="D6" i="10" s="1"/>
  <c r="AU5" i="10"/>
  <c r="AP5" i="10"/>
  <c r="AO5" i="10"/>
  <c r="J5" i="10"/>
  <c r="I5" i="10"/>
  <c r="H5" i="10"/>
  <c r="B5" i="10"/>
  <c r="D5" i="10" s="1"/>
  <c r="AU4" i="10"/>
  <c r="AP4" i="10"/>
  <c r="AO4" i="10"/>
  <c r="H4" i="10"/>
  <c r="F4" i="10"/>
  <c r="D4" i="10"/>
  <c r="C4" i="10"/>
  <c r="B4" i="10"/>
  <c r="AP3" i="10"/>
  <c r="AU3" i="10" s="1"/>
  <c r="AO3" i="10"/>
  <c r="AE3" i="10"/>
  <c r="W3" i="10"/>
  <c r="V3" i="10"/>
  <c r="U3" i="10"/>
  <c r="H3" i="10"/>
  <c r="J3" i="10" s="1"/>
  <c r="B3" i="10"/>
  <c r="F3" i="10" s="1"/>
  <c r="AP2" i="10"/>
  <c r="AU2" i="10" s="1"/>
  <c r="AO2" i="10"/>
  <c r="H2" i="10"/>
  <c r="J2" i="10" s="1"/>
  <c r="F2" i="10"/>
  <c r="D2" i="10"/>
  <c r="C2" i="10"/>
  <c r="B2" i="10"/>
  <c r="F183" i="10" l="1"/>
  <c r="D183" i="10"/>
  <c r="D97" i="10"/>
  <c r="C116" i="10"/>
  <c r="F176" i="10"/>
  <c r="D176" i="10"/>
  <c r="D241" i="10"/>
  <c r="C241" i="10"/>
  <c r="F241" i="10"/>
  <c r="AO7" i="27"/>
  <c r="AN7" i="27"/>
  <c r="D116" i="10"/>
  <c r="C176" i="10"/>
  <c r="F177" i="10"/>
  <c r="D177" i="10"/>
  <c r="C177" i="10"/>
  <c r="F92" i="10"/>
  <c r="D92" i="10"/>
  <c r="AH21" i="18"/>
  <c r="AH24" i="18"/>
  <c r="AH22" i="18"/>
  <c r="AH20" i="18"/>
  <c r="AH23" i="18"/>
  <c r="I22" i="10"/>
  <c r="C92" i="10"/>
  <c r="F195" i="10"/>
  <c r="D195" i="10"/>
  <c r="C195" i="10"/>
  <c r="F62" i="10"/>
  <c r="D62" i="10"/>
  <c r="C62" i="10"/>
  <c r="F11" i="10"/>
  <c r="D11" i="10"/>
  <c r="C11" i="10"/>
  <c r="M3" i="10"/>
  <c r="AB3" i="10"/>
  <c r="P3" i="10"/>
  <c r="O3" i="10"/>
  <c r="AD3" i="10"/>
  <c r="T3" i="10"/>
  <c r="S3" i="10"/>
  <c r="R3" i="10"/>
  <c r="Q3" i="10"/>
  <c r="AC3" i="10"/>
  <c r="AA3" i="10"/>
  <c r="Z3" i="10"/>
  <c r="Y3" i="10"/>
  <c r="X3" i="10"/>
  <c r="AF3" i="10"/>
  <c r="F164" i="10"/>
  <c r="D164" i="10"/>
  <c r="F277" i="10"/>
  <c r="D277" i="10"/>
  <c r="AI10" i="18"/>
  <c r="AI3" i="18"/>
  <c r="AI9" i="18"/>
  <c r="AI13" i="18"/>
  <c r="J48" i="10"/>
  <c r="I48" i="10"/>
  <c r="C164" i="10"/>
  <c r="C277" i="10"/>
  <c r="N3" i="10"/>
  <c r="I56" i="10"/>
  <c r="C183" i="10"/>
  <c r="C213" i="10"/>
  <c r="C297" i="10"/>
  <c r="T72" i="27"/>
  <c r="S72" i="27"/>
  <c r="R72" i="27"/>
  <c r="D213" i="10"/>
  <c r="D38" i="10"/>
  <c r="J32" i="10"/>
  <c r="J35" i="10"/>
  <c r="I35" i="10"/>
  <c r="I66" i="10"/>
  <c r="C75" i="10"/>
  <c r="F16" i="10"/>
  <c r="F97" i="10"/>
  <c r="F152" i="10"/>
  <c r="D152" i="10"/>
  <c r="J59" i="10"/>
  <c r="I59" i="10"/>
  <c r="D136" i="10"/>
  <c r="F136" i="10"/>
  <c r="D75" i="10"/>
  <c r="D127" i="10"/>
  <c r="C127" i="10"/>
  <c r="F272" i="10"/>
  <c r="D272" i="10"/>
  <c r="C272" i="10"/>
  <c r="C289" i="10"/>
  <c r="D16" i="10"/>
  <c r="F111" i="10"/>
  <c r="D111" i="10"/>
  <c r="F38" i="10"/>
  <c r="D70" i="10"/>
  <c r="F70" i="10"/>
  <c r="D297" i="10"/>
  <c r="AN4" i="27"/>
  <c r="J16" i="10"/>
  <c r="I16" i="10"/>
  <c r="F122" i="10"/>
  <c r="D122" i="10"/>
  <c r="C122" i="10"/>
  <c r="D265" i="10"/>
  <c r="C265" i="10"/>
  <c r="AO4" i="27"/>
  <c r="F265" i="10"/>
  <c r="AN8" i="27"/>
  <c r="D8" i="10"/>
  <c r="C8" i="10"/>
  <c r="F8" i="10"/>
  <c r="P66" i="27"/>
  <c r="F169" i="10"/>
  <c r="D169" i="10"/>
  <c r="C200" i="10"/>
  <c r="Q66" i="27"/>
  <c r="I42" i="10"/>
  <c r="C152" i="10"/>
  <c r="C169" i="10"/>
  <c r="D200" i="10"/>
  <c r="C234" i="10"/>
  <c r="F234" i="10"/>
  <c r="C251" i="10"/>
  <c r="F13" i="10"/>
  <c r="C13" i="10"/>
  <c r="D13" i="10"/>
  <c r="C85" i="10"/>
  <c r="C111" i="10"/>
  <c r="D234" i="10"/>
  <c r="D251" i="10"/>
  <c r="D85" i="10"/>
  <c r="C43" i="10"/>
  <c r="D253" i="10"/>
  <c r="C253" i="10"/>
  <c r="C35" i="10"/>
  <c r="D43" i="10"/>
  <c r="F188" i="10"/>
  <c r="D188" i="10"/>
  <c r="C188" i="10"/>
  <c r="F253" i="10"/>
  <c r="D35" i="10"/>
  <c r="C136" i="10"/>
  <c r="F221" i="10"/>
  <c r="D221" i="10"/>
  <c r="C18" i="10"/>
  <c r="D18" i="10"/>
  <c r="F102" i="10"/>
  <c r="D102" i="10"/>
  <c r="C102" i="10"/>
  <c r="F127" i="10"/>
  <c r="F157" i="10"/>
  <c r="D157" i="10"/>
  <c r="D289" i="10"/>
  <c r="F67" i="10"/>
  <c r="D67" i="10"/>
  <c r="C67" i="10"/>
  <c r="D115" i="10"/>
  <c r="C115" i="10"/>
  <c r="C157" i="10"/>
  <c r="F207" i="10"/>
  <c r="D207" i="10"/>
  <c r="C207" i="10"/>
  <c r="F235" i="10"/>
  <c r="D235" i="10"/>
  <c r="C235" i="10"/>
  <c r="AZ31" i="18"/>
  <c r="AY30" i="18"/>
  <c r="AX30" i="18"/>
  <c r="D248" i="10"/>
  <c r="C248" i="10"/>
  <c r="C260" i="10"/>
  <c r="C285" i="10"/>
  <c r="I8" i="10"/>
  <c r="J53" i="10"/>
  <c r="D71" i="10"/>
  <c r="C71" i="10"/>
  <c r="F248" i="10"/>
  <c r="D260" i="10"/>
  <c r="D285" i="10"/>
  <c r="F299" i="10"/>
  <c r="D299" i="10"/>
  <c r="AZ30" i="18"/>
  <c r="I11" i="10"/>
  <c r="J11" i="10"/>
  <c r="C65" i="10"/>
  <c r="F71" i="10"/>
  <c r="C93" i="10"/>
  <c r="F103" i="10"/>
  <c r="D103" i="10"/>
  <c r="C147" i="10"/>
  <c r="C158" i="10"/>
  <c r="C299" i="10"/>
  <c r="C3" i="10"/>
  <c r="I47" i="10"/>
  <c r="D65" i="10"/>
  <c r="D93" i="10"/>
  <c r="C103" i="10"/>
  <c r="D147" i="10"/>
  <c r="F158" i="10"/>
  <c r="C210" i="10"/>
  <c r="F210" i="10"/>
  <c r="F237" i="10"/>
  <c r="D237" i="10"/>
  <c r="C237" i="10"/>
  <c r="C249" i="10"/>
  <c r="Q70" i="27"/>
  <c r="D3" i="10"/>
  <c r="I34" i="10"/>
  <c r="C124" i="10"/>
  <c r="F159" i="10"/>
  <c r="D159" i="10"/>
  <c r="C159" i="10"/>
  <c r="D210" i="10"/>
  <c r="D249" i="10"/>
  <c r="C261" i="10"/>
  <c r="C286" i="10"/>
  <c r="C300" i="10"/>
  <c r="AW31" i="18"/>
  <c r="I28" i="10"/>
  <c r="I41" i="10"/>
  <c r="F55" i="10"/>
  <c r="D55" i="10"/>
  <c r="C55" i="10"/>
  <c r="I60" i="10"/>
  <c r="C83" i="10"/>
  <c r="C94" i="10"/>
  <c r="D124" i="10"/>
  <c r="C224" i="10"/>
  <c r="C238" i="10"/>
  <c r="D261" i="10"/>
  <c r="F286" i="10"/>
  <c r="D300" i="10"/>
  <c r="C48" i="10"/>
  <c r="I65" i="10"/>
  <c r="D83" i="10"/>
  <c r="D94" i="10"/>
  <c r="F125" i="10"/>
  <c r="D125" i="10"/>
  <c r="C125" i="10"/>
  <c r="C148" i="10"/>
  <c r="D186" i="10"/>
  <c r="D224" i="10"/>
  <c r="F238" i="10"/>
  <c r="F287" i="10"/>
  <c r="D287" i="10"/>
  <c r="I3" i="10"/>
  <c r="D48" i="10"/>
  <c r="D148" i="10"/>
  <c r="F186" i="10"/>
  <c r="D250" i="10"/>
  <c r="C287" i="10"/>
  <c r="F12" i="10"/>
  <c r="D12" i="10"/>
  <c r="C22" i="10"/>
  <c r="F126" i="10"/>
  <c r="D126" i="10"/>
  <c r="C174" i="10"/>
  <c r="D225" i="10"/>
  <c r="F225" i="10"/>
  <c r="C239" i="10"/>
  <c r="F250" i="10"/>
  <c r="F288" i="10"/>
  <c r="D288" i="10"/>
  <c r="C288" i="10"/>
  <c r="D153" i="10"/>
  <c r="F39" i="10"/>
  <c r="D39" i="10"/>
  <c r="C39" i="10"/>
  <c r="F166" i="10"/>
  <c r="Y4" i="16"/>
  <c r="X4" i="16"/>
  <c r="AA4" i="16"/>
  <c r="AB4" i="16" s="1"/>
  <c r="D100" i="10"/>
  <c r="F167" i="10"/>
  <c r="D218" i="10"/>
  <c r="D258" i="10"/>
  <c r="D270" i="10"/>
  <c r="F270" i="10"/>
  <c r="C270" i="10"/>
  <c r="D281" i="10"/>
  <c r="V5" i="16"/>
  <c r="C266" i="10"/>
  <c r="F266" i="10"/>
  <c r="C6" i="10"/>
  <c r="F51" i="10"/>
  <c r="D51" i="10"/>
  <c r="D30" i="10"/>
  <c r="F218" i="10"/>
  <c r="F139" i="10"/>
  <c r="D139" i="10"/>
  <c r="J43" i="10"/>
  <c r="I43" i="10"/>
  <c r="C139" i="10"/>
  <c r="D266" i="10"/>
  <c r="F6" i="10"/>
  <c r="F26" i="10"/>
  <c r="D26" i="10"/>
  <c r="C26" i="10"/>
  <c r="I62" i="10"/>
  <c r="C76" i="10"/>
  <c r="C190" i="10"/>
  <c r="C203" i="10"/>
  <c r="I50" i="10"/>
  <c r="D76" i="10"/>
  <c r="D88" i="10"/>
  <c r="F88" i="10"/>
  <c r="C153" i="10"/>
  <c r="F190" i="10"/>
  <c r="D203" i="10"/>
  <c r="F215" i="10"/>
  <c r="D215" i="10"/>
  <c r="F293" i="10"/>
  <c r="D293" i="10"/>
  <c r="R66" i="27"/>
  <c r="I6" i="10"/>
  <c r="I13" i="10"/>
  <c r="I26" i="10"/>
  <c r="C88" i="10"/>
  <c r="F141" i="10"/>
  <c r="D141" i="10"/>
  <c r="C141" i="10"/>
  <c r="D178" i="10"/>
  <c r="C229" i="10"/>
  <c r="C293" i="10"/>
  <c r="J4" i="10"/>
  <c r="I4" i="10"/>
  <c r="C23" i="10"/>
  <c r="I57" i="10"/>
  <c r="C166" i="10"/>
  <c r="F178" i="10"/>
  <c r="D229" i="10"/>
  <c r="C280" i="10"/>
  <c r="V4" i="16"/>
  <c r="D23" i="10"/>
  <c r="C30" i="10"/>
  <c r="C51" i="10"/>
  <c r="F179" i="10"/>
  <c r="D179" i="10"/>
  <c r="C179" i="10"/>
  <c r="C204" i="10"/>
  <c r="D280" i="10"/>
  <c r="C10" i="10"/>
  <c r="C45" i="10"/>
  <c r="D120" i="10"/>
  <c r="C120" i="10"/>
  <c r="C143" i="10"/>
  <c r="D204" i="10"/>
  <c r="D230" i="10"/>
  <c r="F230" i="10"/>
  <c r="C230" i="10"/>
  <c r="C269" i="10"/>
  <c r="AI2" i="18"/>
  <c r="AI14" i="18"/>
  <c r="AI8" i="18"/>
  <c r="D10" i="10"/>
  <c r="D45" i="10"/>
  <c r="C109" i="10"/>
  <c r="F120" i="10"/>
  <c r="D143" i="10"/>
  <c r="C167" i="10"/>
  <c r="D269" i="10"/>
  <c r="J17" i="10"/>
  <c r="I23" i="10"/>
  <c r="C100" i="10"/>
  <c r="D109" i="10"/>
  <c r="F193" i="10"/>
  <c r="D193" i="10"/>
  <c r="C281" i="10"/>
  <c r="Y5" i="16"/>
  <c r="AA5" i="16"/>
  <c r="AB5" i="16" s="1"/>
  <c r="I10" i="10"/>
  <c r="F258" i="10"/>
  <c r="D121" i="10"/>
  <c r="C132" i="10"/>
  <c r="D144" i="10"/>
  <c r="D194" i="10"/>
  <c r="D246" i="10"/>
  <c r="F246" i="10"/>
  <c r="X5" i="16"/>
  <c r="F9" i="10"/>
  <c r="D9" i="10"/>
  <c r="C9" i="10"/>
  <c r="F21" i="10"/>
  <c r="D21" i="10"/>
  <c r="AA16" i="18"/>
  <c r="AA10" i="18"/>
  <c r="AA4" i="18"/>
  <c r="AA15" i="18"/>
  <c r="AA9" i="18"/>
  <c r="AA11" i="18"/>
  <c r="AA5" i="18"/>
  <c r="AA7" i="18"/>
  <c r="C21" i="10"/>
  <c r="F46" i="10"/>
  <c r="D46" i="10"/>
  <c r="D128" i="10"/>
  <c r="F149" i="10"/>
  <c r="D149" i="10"/>
  <c r="C184" i="10"/>
  <c r="C256" i="10"/>
  <c r="D290" i="10"/>
  <c r="AA2" i="18"/>
  <c r="I63" i="10"/>
  <c r="D137" i="10"/>
  <c r="C137" i="10"/>
  <c r="C149" i="10"/>
  <c r="D231" i="10"/>
  <c r="C231" i="10"/>
  <c r="D256" i="10"/>
  <c r="C267" i="10"/>
  <c r="F290" i="10"/>
  <c r="AF7" i="18"/>
  <c r="AF2" i="18"/>
  <c r="J18" i="10"/>
  <c r="I52" i="10"/>
  <c r="J68" i="10"/>
  <c r="I68" i="10"/>
  <c r="C89" i="10"/>
  <c r="F137" i="10"/>
  <c r="C173" i="10"/>
  <c r="F184" i="10"/>
  <c r="C220" i="10"/>
  <c r="AE8" i="27"/>
  <c r="AE4" i="27"/>
  <c r="AE11" i="27"/>
  <c r="AE7" i="27"/>
  <c r="AE3" i="27"/>
  <c r="S114" i="27"/>
  <c r="R114" i="27"/>
  <c r="Q114" i="27"/>
  <c r="P114" i="27"/>
  <c r="C15" i="10"/>
  <c r="F24" i="10"/>
  <c r="D24" i="10"/>
  <c r="C24" i="10"/>
  <c r="F31" i="10"/>
  <c r="D31" i="10"/>
  <c r="C31" i="10"/>
  <c r="D89" i="10"/>
  <c r="D162" i="10"/>
  <c r="D173" i="10"/>
  <c r="D220" i="10"/>
  <c r="AA8" i="18"/>
  <c r="F58" i="10"/>
  <c r="D58" i="10"/>
  <c r="D219" i="10"/>
  <c r="C219" i="10"/>
  <c r="V66" i="27"/>
  <c r="U66" i="27"/>
  <c r="C46" i="10"/>
  <c r="J58" i="10"/>
  <c r="I58" i="10"/>
  <c r="F128" i="10"/>
  <c r="F244" i="10"/>
  <c r="D244" i="10"/>
  <c r="D267" i="10"/>
  <c r="D15" i="10"/>
  <c r="F37" i="10"/>
  <c r="D37" i="10"/>
  <c r="F162" i="10"/>
  <c r="AK4" i="27"/>
  <c r="AK3" i="27"/>
  <c r="AO2" i="27"/>
  <c r="AN2" i="27"/>
  <c r="AK2" i="27"/>
  <c r="O70" i="27"/>
  <c r="AK6" i="27"/>
  <c r="F81" i="10"/>
  <c r="D81" i="10"/>
  <c r="C154" i="10"/>
  <c r="F154" i="10"/>
  <c r="D154" i="10"/>
  <c r="F205" i="10"/>
  <c r="D205" i="10"/>
  <c r="I2" i="10"/>
  <c r="I25" i="10"/>
  <c r="C41" i="10"/>
  <c r="C52" i="10"/>
  <c r="C57" i="10"/>
  <c r="I61" i="10"/>
  <c r="F66" i="10"/>
  <c r="D66" i="10"/>
  <c r="C72" i="10"/>
  <c r="C81" i="10"/>
  <c r="C175" i="10"/>
  <c r="C205" i="10"/>
  <c r="D298" i="10"/>
  <c r="P70" i="27"/>
  <c r="C66" i="10"/>
  <c r="C145" i="10"/>
  <c r="C216" i="10"/>
  <c r="F216" i="10"/>
  <c r="D216" i="10"/>
  <c r="C227" i="10"/>
  <c r="C278" i="10"/>
  <c r="F298" i="10"/>
  <c r="C284" i="10"/>
  <c r="F5" i="10"/>
  <c r="J39" i="10"/>
  <c r="I39" i="10"/>
  <c r="D201" i="10"/>
  <c r="D252" i="10"/>
  <c r="AZ27" i="18"/>
  <c r="AO5" i="27"/>
  <c r="C5" i="10"/>
  <c r="C27" i="10"/>
  <c r="C86" i="10"/>
  <c r="F95" i="10"/>
  <c r="D95" i="10"/>
  <c r="F160" i="10"/>
  <c r="D160" i="10"/>
  <c r="C181" i="10"/>
  <c r="C191" i="10"/>
  <c r="C232" i="10"/>
  <c r="D242" i="10"/>
  <c r="AI7" i="18"/>
  <c r="AI5" i="18"/>
  <c r="AI11" i="18"/>
  <c r="D40" i="27"/>
  <c r="D62" i="27"/>
  <c r="D81" i="27"/>
  <c r="D35" i="27"/>
  <c r="AN10" i="27"/>
  <c r="C7" i="10"/>
  <c r="D27" i="10"/>
  <c r="C77" i="10"/>
  <c r="D86" i="10"/>
  <c r="C113" i="10"/>
  <c r="D150" i="10"/>
  <c r="F150" i="10"/>
  <c r="C160" i="10"/>
  <c r="F171" i="10"/>
  <c r="D171" i="10"/>
  <c r="D181" i="10"/>
  <c r="D191" i="10"/>
  <c r="C201" i="10"/>
  <c r="D222" i="10"/>
  <c r="F222" i="10"/>
  <c r="D232" i="10"/>
  <c r="F242" i="10"/>
  <c r="C252" i="10"/>
  <c r="C294" i="10"/>
  <c r="R70" i="27"/>
  <c r="D7" i="10"/>
  <c r="D77" i="10"/>
  <c r="D113" i="10"/>
  <c r="D131" i="10"/>
  <c r="C140" i="10"/>
  <c r="C150" i="10"/>
  <c r="C171" i="10"/>
  <c r="C222" i="10"/>
  <c r="C263" i="10"/>
  <c r="F263" i="10"/>
  <c r="D263" i="10"/>
  <c r="D284" i="10"/>
  <c r="F294" i="10"/>
  <c r="I36" i="10"/>
  <c r="D87" i="10"/>
  <c r="C87" i="10"/>
  <c r="F131" i="10"/>
  <c r="D54" i="10"/>
  <c r="C54" i="10"/>
  <c r="C254" i="10"/>
  <c r="C282" i="10"/>
  <c r="F282" i="10"/>
  <c r="D282" i="10"/>
  <c r="C301" i="10"/>
  <c r="AJ3" i="27"/>
  <c r="AO19" i="27"/>
  <c r="R106" i="27" s="1"/>
  <c r="AN19" i="27"/>
  <c r="O66" i="27" s="1"/>
  <c r="AN24" i="27"/>
  <c r="C28" i="10"/>
  <c r="C44" i="10"/>
  <c r="F54" i="10"/>
  <c r="C73" i="10"/>
  <c r="C198" i="10"/>
  <c r="F254" i="10"/>
  <c r="C273" i="10"/>
  <c r="C292" i="10"/>
  <c r="D301" i="10"/>
  <c r="AH3" i="27"/>
  <c r="AN6" i="27"/>
  <c r="AI9" i="27"/>
  <c r="AI6" i="27"/>
  <c r="AI8" i="27"/>
  <c r="D28" i="10"/>
  <c r="D44" i="10"/>
  <c r="C49" i="10"/>
  <c r="F49" i="10"/>
  <c r="D73" i="10"/>
  <c r="F198" i="10"/>
  <c r="D273" i="10"/>
  <c r="D292" i="10"/>
  <c r="C20" i="10"/>
  <c r="D49" i="10"/>
  <c r="D117" i="10"/>
  <c r="D142" i="10"/>
  <c r="F142" i="10"/>
  <c r="C142" i="10"/>
  <c r="D170" i="10"/>
  <c r="F226" i="10"/>
  <c r="D236" i="10"/>
  <c r="C236" i="10"/>
  <c r="W5" i="18"/>
  <c r="W2" i="18"/>
  <c r="W13" i="18"/>
  <c r="W7" i="18"/>
  <c r="W12" i="18"/>
  <c r="W6" i="16"/>
  <c r="AF18" i="27"/>
  <c r="C214" i="10"/>
  <c r="C134" i="10"/>
  <c r="D202" i="10"/>
  <c r="AN17" i="27" l="1"/>
  <c r="U9" i="10"/>
  <c r="AE9" i="10"/>
  <c r="AD9" i="10"/>
  <c r="AC9" i="10"/>
  <c r="AB9" i="10"/>
  <c r="Z9" i="10"/>
  <c r="Y9" i="10"/>
  <c r="AA9" i="10"/>
  <c r="O9" i="10"/>
  <c r="N9" i="10"/>
  <c r="M9" i="10"/>
  <c r="AF9" i="10"/>
  <c r="X9" i="10"/>
  <c r="W9" i="10"/>
  <c r="T9" i="10"/>
  <c r="S9" i="10"/>
  <c r="R9" i="10"/>
  <c r="P9" i="10"/>
  <c r="Q9" i="10"/>
  <c r="V9" i="10"/>
  <c r="Q106" i="27"/>
  <c r="P106" i="27"/>
  <c r="O106" i="27"/>
  <c r="AO17" i="27"/>
  <c r="AX31" i="18"/>
  <c r="AW32" i="18"/>
  <c r="AY31" i="18"/>
  <c r="AZ32" i="18"/>
  <c r="S106" i="27"/>
  <c r="T106" i="27"/>
  <c r="AF9" i="18"/>
  <c r="AF8" i="27" a="1"/>
  <c r="AF8" i="27" s="1"/>
  <c r="AF13" i="27" a="1"/>
  <c r="AF13" i="27" s="1"/>
  <c r="AF6" i="27" a="1"/>
  <c r="AF6" i="27" s="1"/>
  <c r="AF5" i="27" a="1"/>
  <c r="AF5" i="27" s="1"/>
  <c r="AF14" i="27" a="1"/>
  <c r="AF14" i="27" s="1"/>
  <c r="AF3" i="27" a="1"/>
  <c r="AF3" i="27" s="1"/>
  <c r="AF9" i="27" a="1"/>
  <c r="AF9" i="27" s="1"/>
  <c r="AF4" i="27" a="1"/>
  <c r="AF4" i="27" s="1"/>
  <c r="AF2" i="27" a="1"/>
  <c r="AF2" i="27" s="1"/>
  <c r="AF7" i="27" a="1"/>
  <c r="AF7" i="27" s="1"/>
  <c r="AF10" i="27" a="1"/>
  <c r="AF10" i="27" s="1"/>
  <c r="AF12" i="27" a="1"/>
  <c r="AF12" i="27" s="1"/>
  <c r="AF11" i="27" a="1"/>
  <c r="AF11" i="27" s="1"/>
  <c r="AH4" i="27"/>
  <c r="AI11" i="27"/>
  <c r="AF10" i="18"/>
  <c r="Q5" i="10"/>
  <c r="AF5" i="10"/>
  <c r="X5" i="10"/>
  <c r="W5" i="10"/>
  <c r="AD5" i="10"/>
  <c r="AE5" i="10"/>
  <c r="Z5" i="10"/>
  <c r="Y5" i="10"/>
  <c r="V5" i="10"/>
  <c r="AC5" i="10"/>
  <c r="AB5" i="10"/>
  <c r="AA5" i="10"/>
  <c r="U5" i="10"/>
  <c r="T5" i="10"/>
  <c r="S5" i="10"/>
  <c r="N5" i="10"/>
  <c r="M5" i="10"/>
  <c r="R5" i="10"/>
  <c r="P5" i="10"/>
  <c r="O5" i="10"/>
  <c r="AN16" i="27"/>
  <c r="T66" i="27"/>
  <c r="S66" i="27"/>
  <c r="AJ11" i="27"/>
  <c r="AG11" i="27"/>
  <c r="O4" i="10"/>
  <c r="AD4" i="10"/>
  <c r="T4" i="10"/>
  <c r="S4" i="10"/>
  <c r="AA4" i="10"/>
  <c r="Z4" i="10"/>
  <c r="X4" i="10"/>
  <c r="Y4" i="10"/>
  <c r="M4" i="10"/>
  <c r="W4" i="10"/>
  <c r="V4" i="10"/>
  <c r="U4" i="10"/>
  <c r="R4" i="10"/>
  <c r="Q4" i="10"/>
  <c r="P4" i="10"/>
  <c r="N4" i="10"/>
  <c r="AF4" i="10"/>
  <c r="AE4" i="10"/>
  <c r="AC4" i="10"/>
  <c r="AB4" i="10"/>
  <c r="Q92" i="27"/>
  <c r="P92" i="27"/>
  <c r="O92" i="27"/>
  <c r="AH11" i="27" l="1"/>
  <c r="AF11" i="18"/>
  <c r="AF14" i="18"/>
  <c r="AJ12" i="27"/>
  <c r="AG12" i="27"/>
  <c r="AH12" i="27" s="1"/>
  <c r="AK8" i="27" s="1"/>
  <c r="AX32" i="18"/>
  <c r="AZ33" i="18"/>
  <c r="AW33" i="18"/>
  <c r="AY32" i="18"/>
  <c r="AW34" i="18" l="1"/>
  <c r="AY33" i="18"/>
  <c r="AX33" i="18"/>
  <c r="AZ34" i="18"/>
  <c r="AG13" i="27"/>
  <c r="AJ13" i="27"/>
  <c r="AI12" i="27"/>
  <c r="AF21" i="18"/>
  <c r="AJ22" i="18" s="1"/>
  <c r="AF15" i="18"/>
  <c r="AJ16" i="18" s="1"/>
  <c r="AF24" i="18"/>
  <c r="AF20" i="18"/>
  <c r="AJ21" i="18" s="1"/>
  <c r="AF19" i="18"/>
  <c r="AJ20" i="18" s="1"/>
  <c r="AF18" i="18"/>
  <c r="AJ19" i="18" s="1"/>
  <c r="AF22" i="18"/>
  <c r="AJ23" i="18" s="1"/>
  <c r="AF16" i="18"/>
  <c r="AJ17" i="18" s="1"/>
  <c r="AF23" i="18"/>
  <c r="AJ24" i="18" s="1"/>
  <c r="AF17" i="18"/>
  <c r="AJ18" i="18" s="1"/>
  <c r="AK7" i="27"/>
  <c r="AJ14" i="27" l="1"/>
  <c r="AG14" i="27"/>
  <c r="AI13" i="27"/>
  <c r="AH13" i="27"/>
  <c r="AY34" i="18"/>
  <c r="AX34" i="18"/>
  <c r="AZ35" i="18"/>
  <c r="AW35" i="18"/>
  <c r="AZ36" i="18" l="1"/>
  <c r="AW36" i="18"/>
  <c r="AY35" i="18"/>
  <c r="AX35" i="18"/>
  <c r="AG15" i="27"/>
  <c r="AJ15" i="27"/>
  <c r="AI14" i="27"/>
  <c r="AH14" i="27"/>
  <c r="AK10" i="27" s="1"/>
  <c r="AK9" i="27"/>
  <c r="AJ16" i="27" l="1"/>
  <c r="AG16" i="27"/>
  <c r="AI15" i="27"/>
  <c r="AH15" i="27"/>
  <c r="AZ37" i="18"/>
  <c r="AW37" i="18"/>
  <c r="AX36" i="18"/>
  <c r="AY36" i="18"/>
  <c r="AZ38" i="18" l="1"/>
  <c r="AW38" i="18"/>
  <c r="AY37" i="18"/>
  <c r="AX37" i="18"/>
  <c r="AK11" i="27"/>
  <c r="AJ17" i="27"/>
  <c r="AG17" i="27"/>
  <c r="AI16" i="27"/>
  <c r="AH16" i="27"/>
  <c r="AJ18" i="27" l="1"/>
  <c r="AG18" i="27"/>
  <c r="AI17" i="27"/>
  <c r="AH17" i="27"/>
  <c r="AK12" i="27"/>
  <c r="AY38" i="18"/>
  <c r="AX38" i="18"/>
  <c r="AZ39" i="18"/>
  <c r="AW39" i="18"/>
  <c r="AK13" i="27" l="1"/>
  <c r="AY39" i="18"/>
  <c r="AX39" i="18"/>
  <c r="AW40" i="18"/>
  <c r="AZ40" i="18"/>
  <c r="AJ19" i="27"/>
  <c r="AG19" i="27"/>
  <c r="AI18" i="27"/>
  <c r="AH18" i="27"/>
  <c r="AK14" i="27" l="1"/>
  <c r="AG20" i="27"/>
  <c r="AJ20" i="27"/>
  <c r="AI19" i="27"/>
  <c r="AH19" i="27"/>
  <c r="AK15" i="27" s="1"/>
  <c r="AX40" i="18"/>
  <c r="AW41" i="18"/>
  <c r="AZ41" i="18"/>
  <c r="AY40" i="18"/>
  <c r="AX41" i="18" l="1"/>
  <c r="AZ42" i="18"/>
  <c r="AW42" i="18"/>
  <c r="AY41" i="18"/>
  <c r="AJ21" i="27"/>
  <c r="AG21" i="27"/>
  <c r="AI20" i="27"/>
  <c r="AH20" i="27"/>
  <c r="AK16" i="27" s="1"/>
  <c r="AI21" i="27" l="1"/>
  <c r="AH21" i="27"/>
  <c r="AK17" i="27" s="1"/>
  <c r="AL6" i="27" s="1" a="1"/>
  <c r="AL6" i="27" s="1"/>
  <c r="AW43" i="18"/>
  <c r="AY42" i="18"/>
  <c r="AX42" i="18"/>
  <c r="AZ43" i="18"/>
  <c r="AL16" i="27" a="1"/>
  <c r="AL16" i="27" s="1"/>
  <c r="AL8" i="27" l="1" a="1"/>
  <c r="AL8" i="27" s="1"/>
  <c r="AL9" i="27" a="1"/>
  <c r="AL9" i="27" s="1"/>
  <c r="AL14" i="27" a="1"/>
  <c r="AL14" i="27" s="1"/>
  <c r="AL15" i="27" a="1"/>
  <c r="AL15" i="27" s="1"/>
  <c r="AL11" i="27" a="1"/>
  <c r="AL11" i="27" s="1"/>
  <c r="AL13" i="27" a="1"/>
  <c r="AL13" i="27" s="1"/>
  <c r="AL3" i="27" a="1"/>
  <c r="AL3" i="27" s="1"/>
  <c r="AL4" i="27" a="1"/>
  <c r="AL4" i="27" s="1"/>
  <c r="AL2" i="27" a="1"/>
  <c r="AL2" i="27" s="1"/>
  <c r="AW44" i="18"/>
  <c r="AX43" i="18"/>
  <c r="AZ44" i="18"/>
  <c r="AY43" i="18"/>
  <c r="AN13" i="27"/>
  <c r="AN12" i="27"/>
  <c r="AN15" i="27"/>
  <c r="AN11" i="27"/>
  <c r="AN14" i="27"/>
  <c r="AL10" i="27" a="1"/>
  <c r="AL10" i="27" s="1"/>
  <c r="AL12" i="27" a="1"/>
  <c r="AL12" i="27" s="1"/>
  <c r="AL5" i="27" a="1"/>
  <c r="AL5" i="27" s="1"/>
  <c r="AL17" i="27" a="1"/>
  <c r="AL17" i="27" s="1"/>
  <c r="AL7" i="27" a="1"/>
  <c r="AL7" i="27" s="1"/>
  <c r="AY44" i="18" l="1"/>
  <c r="AW45" i="18"/>
  <c r="AX44" i="18"/>
  <c r="AZ45" i="18"/>
  <c r="AZ46" i="18" l="1"/>
  <c r="AW46" i="18"/>
  <c r="AX45" i="18"/>
  <c r="AY45" i="18"/>
  <c r="AZ47" i="18" l="1"/>
  <c r="AY46" i="18"/>
  <c r="AX46" i="18"/>
  <c r="AW47" i="18"/>
  <c r="AW48" i="18" l="1"/>
  <c r="AY47" i="18"/>
  <c r="AZ48" i="18"/>
  <c r="AX47" i="18"/>
  <c r="AY48" i="18" l="1"/>
  <c r="AZ49" i="18"/>
  <c r="AW49" i="18"/>
  <c r="AX48" i="18"/>
  <c r="AY49" i="18" l="1"/>
  <c r="AX49" i="18"/>
  <c r="AZ50" i="18"/>
  <c r="AW50" i="18"/>
  <c r="AY50" i="18" l="1"/>
  <c r="AX50" i="18"/>
  <c r="AW51" i="18"/>
  <c r="AZ51" i="18"/>
  <c r="AZ52" i="18" l="1"/>
  <c r="AX51" i="18"/>
  <c r="AW52" i="18"/>
  <c r="AY51" i="18"/>
  <c r="AZ53" i="18" l="1"/>
  <c r="AW53" i="18"/>
  <c r="AY52" i="18"/>
  <c r="AX52" i="18"/>
  <c r="AX53" i="18" l="1"/>
  <c r="AZ54" i="18"/>
  <c r="AY53" i="18"/>
  <c r="AW54" i="18"/>
  <c r="AZ55" i="18" l="1"/>
  <c r="AY54" i="18"/>
  <c r="AX54" i="18"/>
  <c r="AW55" i="18"/>
  <c r="AY55" i="18" l="1"/>
  <c r="AW56" i="18"/>
  <c r="AX55" i="18"/>
  <c r="AZ56" i="18"/>
  <c r="AX56" i="18" l="1"/>
  <c r="AW57" i="18"/>
  <c r="AZ57" i="18"/>
  <c r="AY56" i="18"/>
  <c r="AY57" i="18" l="1"/>
  <c r="AX57" i="18"/>
  <c r="AW58" i="18"/>
  <c r="AZ58" i="18"/>
  <c r="AZ59" i="18" l="1"/>
  <c r="AW59" i="18"/>
  <c r="AX58" i="18"/>
  <c r="AY58" i="18"/>
  <c r="AX59" i="18" l="1"/>
  <c r="AW60" i="18"/>
  <c r="AY59" i="18"/>
  <c r="AZ60" i="18"/>
  <c r="AW61" i="18" l="1"/>
  <c r="AZ61" i="18"/>
  <c r="AY60" i="18"/>
  <c r="AX60" i="18"/>
  <c r="AZ62" i="18" l="1"/>
  <c r="AY61" i="18"/>
  <c r="AX61" i="18"/>
  <c r="AW62" i="18"/>
  <c r="AX62" i="18" l="1"/>
  <c r="AZ63" i="18"/>
  <c r="AY62" i="18"/>
  <c r="AW63" i="18"/>
  <c r="AW64" i="18" l="1"/>
  <c r="AY63" i="18"/>
  <c r="AZ64" i="18"/>
  <c r="AX63" i="18"/>
  <c r="AZ65" i="18" l="1"/>
  <c r="AX64" i="18"/>
  <c r="AW65" i="18"/>
  <c r="AY64" i="18"/>
  <c r="AW66" i="18" l="1"/>
  <c r="AY65" i="18"/>
  <c r="AZ66" i="18"/>
  <c r="AX65" i="18"/>
  <c r="AW67" i="18" l="1"/>
  <c r="AY66" i="18"/>
  <c r="AX66" i="18"/>
  <c r="AZ67" i="18"/>
  <c r="AZ68" i="18" l="1"/>
  <c r="AX67" i="18"/>
  <c r="AY67" i="18"/>
  <c r="AW68" i="18"/>
  <c r="AZ69" i="18" l="1"/>
  <c r="AY68" i="18"/>
  <c r="AW69" i="18"/>
  <c r="AX68" i="18"/>
  <c r="AW70" i="18" l="1"/>
  <c r="AY69" i="18"/>
  <c r="AX69" i="18"/>
  <c r="AZ70" i="18"/>
  <c r="AZ71" i="18" l="1"/>
  <c r="AY70" i="18"/>
  <c r="AX70" i="18"/>
  <c r="AW71" i="18"/>
  <c r="AZ72" i="18" l="1"/>
  <c r="AW72" i="18"/>
  <c r="AX71" i="18"/>
  <c r="AY71" i="18"/>
  <c r="AX72" i="18" l="1"/>
  <c r="AY72" i="18"/>
  <c r="AZ73" i="18"/>
  <c r="AW73" i="18"/>
  <c r="AZ74" i="18" l="1"/>
  <c r="AW74" i="18"/>
  <c r="AY73" i="18"/>
  <c r="AX73" i="18"/>
  <c r="AY74" i="18" l="1"/>
  <c r="AX74" i="18"/>
  <c r="AZ75" i="18"/>
  <c r="AW75" i="18"/>
  <c r="AX75" i="18" l="1"/>
  <c r="AZ76" i="18"/>
  <c r="AW76" i="18"/>
  <c r="AY75" i="18"/>
  <c r="AX76" i="18" l="1"/>
  <c r="AY76" i="18"/>
  <c r="AW77" i="18"/>
  <c r="AZ77" i="18"/>
  <c r="AZ78" i="18" l="1"/>
  <c r="AY77" i="18"/>
  <c r="AX77" i="18"/>
  <c r="AW78" i="18"/>
  <c r="AY78" i="18" l="1"/>
  <c r="AZ79" i="18"/>
  <c r="AW79" i="18"/>
  <c r="AX78" i="18"/>
  <c r="AX79" i="18" l="1"/>
  <c r="AZ80" i="18"/>
  <c r="AW80" i="18"/>
  <c r="AY79" i="18"/>
  <c r="AZ81" i="18" l="1"/>
  <c r="AW81" i="18"/>
  <c r="AY80" i="18"/>
  <c r="AX80" i="18"/>
  <c r="AW82" i="18" l="1"/>
  <c r="AX81" i="18"/>
  <c r="AZ82" i="18"/>
  <c r="AY81" i="18"/>
  <c r="AX82" i="18" l="1"/>
  <c r="AY82" i="18"/>
  <c r="AZ83" i="18"/>
  <c r="AW83" i="18"/>
  <c r="AZ84" i="18" l="1"/>
  <c r="AY83" i="18"/>
  <c r="AX83" i="18"/>
  <c r="AW84" i="18"/>
  <c r="AZ85" i="18" l="1"/>
  <c r="AW85" i="18"/>
  <c r="AY84" i="18"/>
  <c r="AX84" i="18"/>
  <c r="AX85" i="18" l="1"/>
  <c r="AW86" i="18"/>
  <c r="AY85" i="18"/>
  <c r="AZ86" i="18"/>
  <c r="AY86" i="18" l="1"/>
  <c r="AX86" i="18"/>
  <c r="AZ87" i="18"/>
  <c r="AW87" i="18"/>
  <c r="AZ88" i="18" l="1"/>
  <c r="AW88" i="18"/>
  <c r="AY87" i="18"/>
  <c r="AX87" i="18"/>
  <c r="AX88" i="18" l="1"/>
  <c r="AW89" i="18"/>
  <c r="AY88" i="18"/>
  <c r="AZ89" i="18"/>
  <c r="AY89" i="18" l="1"/>
  <c r="AX89" i="18"/>
  <c r="AW90" i="18"/>
  <c r="AZ90" i="18"/>
  <c r="AZ91" i="18" l="1"/>
  <c r="AY90" i="18"/>
  <c r="AW91" i="18"/>
  <c r="AX90" i="18"/>
  <c r="AW92" i="18" l="1"/>
  <c r="AZ92" i="18"/>
  <c r="AY91" i="18"/>
  <c r="AX91" i="18"/>
  <c r="AX92" i="18" l="1"/>
  <c r="AY92" i="18"/>
  <c r="AW93" i="18"/>
  <c r="AZ93" i="18"/>
  <c r="AZ94" i="18" l="1"/>
  <c r="AW94" i="18"/>
  <c r="AY93" i="18"/>
  <c r="AX93" i="18"/>
  <c r="AY94" i="18" l="1"/>
  <c r="AW95" i="18"/>
  <c r="AZ95" i="18"/>
  <c r="AX94" i="18"/>
  <c r="AW96" i="18" l="1"/>
  <c r="AY95" i="18"/>
  <c r="AX95" i="18"/>
  <c r="AZ96" i="18"/>
  <c r="AX96" i="18" l="1"/>
  <c r="AZ97" i="18"/>
  <c r="AW97" i="18"/>
  <c r="AY96" i="18"/>
  <c r="AY97" i="18" l="1"/>
  <c r="AX97" i="18"/>
  <c r="AZ98" i="18"/>
  <c r="AW98" i="18"/>
  <c r="AW99" i="18" l="1"/>
  <c r="AY98" i="18"/>
  <c r="AX98" i="18"/>
  <c r="AZ99" i="18"/>
  <c r="AW100" i="18" l="1"/>
  <c r="AZ100" i="18"/>
  <c r="AX99" i="18"/>
  <c r="AY99" i="18"/>
  <c r="AZ101" i="18" l="1"/>
  <c r="AY100" i="18"/>
  <c r="AX100" i="18"/>
  <c r="AW101" i="18"/>
  <c r="AZ102" i="18" l="1"/>
  <c r="AW102" i="18"/>
  <c r="AY101" i="18"/>
  <c r="AX101" i="18"/>
  <c r="AZ103" i="18" l="1"/>
  <c r="AW103" i="18"/>
  <c r="AY102" i="18"/>
  <c r="AX102" i="18"/>
  <c r="AY103" i="18" l="1"/>
  <c r="AZ104" i="18"/>
  <c r="AW104" i="18"/>
  <c r="AX103" i="18"/>
  <c r="AW105" i="18" l="1"/>
  <c r="AZ105" i="18"/>
  <c r="AY104" i="18"/>
  <c r="AX104" i="18"/>
  <c r="AY105" i="18" l="1"/>
  <c r="AZ106" i="18"/>
  <c r="AW106" i="18"/>
  <c r="AX105" i="18"/>
  <c r="AW107" i="18" l="1"/>
  <c r="AX106" i="18"/>
  <c r="AZ107" i="18"/>
  <c r="AY106" i="18"/>
  <c r="AY107" i="18" l="1"/>
  <c r="AX107" i="18"/>
  <c r="AW108" i="18"/>
  <c r="AZ108" i="18"/>
  <c r="AX108" i="18" l="1"/>
  <c r="AW109" i="18"/>
  <c r="AZ109" i="18"/>
  <c r="AY108" i="18"/>
  <c r="AZ110" i="18" l="1"/>
  <c r="AY109" i="18"/>
  <c r="AX109" i="18"/>
  <c r="AW110" i="18"/>
  <c r="AZ111" i="18" l="1"/>
  <c r="AW111" i="18"/>
  <c r="AY110" i="18"/>
  <c r="AX110" i="18"/>
  <c r="AW112" i="18" l="1"/>
  <c r="AY111" i="18"/>
  <c r="AZ112" i="18"/>
  <c r="AX111" i="18"/>
  <c r="AZ113" i="18" l="1"/>
  <c r="AX112" i="18"/>
  <c r="AY112" i="18"/>
  <c r="AW113" i="18"/>
  <c r="AZ114" i="18" l="1"/>
  <c r="AW114" i="18"/>
  <c r="AY113" i="18"/>
  <c r="AX113" i="18"/>
  <c r="AW115" i="18" l="1"/>
  <c r="AY114" i="18"/>
  <c r="AX114" i="18"/>
  <c r="AZ115" i="18"/>
  <c r="AY115" i="18" l="1"/>
  <c r="AX115" i="18"/>
  <c r="AW116" i="18"/>
  <c r="AZ116" i="18"/>
  <c r="AX116" i="18" l="1"/>
  <c r="AZ117" i="18"/>
  <c r="AW117" i="18"/>
  <c r="AY116" i="18"/>
  <c r="AZ118" i="18" l="1"/>
  <c r="AW118" i="18"/>
  <c r="AY117" i="18"/>
  <c r="AX117" i="18"/>
  <c r="AY118" i="18" l="1"/>
  <c r="AX118" i="18"/>
  <c r="AW119" i="18"/>
  <c r="AZ119" i="18"/>
  <c r="AY119" i="18" l="1"/>
  <c r="AX119" i="18"/>
  <c r="AW120" i="18"/>
  <c r="AZ120" i="18"/>
  <c r="AZ121" i="18" l="1"/>
  <c r="AX120" i="18"/>
  <c r="AY120" i="18"/>
  <c r="AW121" i="18"/>
  <c r="AY121" i="18" l="1"/>
  <c r="AZ122" i="18"/>
  <c r="AW122" i="18"/>
  <c r="AX121" i="18"/>
  <c r="AW123" i="18" l="1"/>
  <c r="AX122" i="18"/>
  <c r="AY122" i="18"/>
  <c r="AZ123" i="18"/>
  <c r="AZ124" i="18" l="1"/>
  <c r="AW124" i="18"/>
  <c r="AY123" i="18"/>
  <c r="AX123" i="18"/>
  <c r="AW125" i="18" l="1"/>
  <c r="AY124" i="18"/>
  <c r="AX124" i="18"/>
  <c r="AZ125" i="18"/>
  <c r="AY125" i="18" l="1"/>
  <c r="AW126" i="18"/>
  <c r="AZ126" i="18"/>
  <c r="AX125" i="18"/>
  <c r="AX126" i="18" l="1"/>
  <c r="AY126" i="18"/>
  <c r="AW127" i="18"/>
  <c r="AZ127" i="18"/>
  <c r="AW128" i="18" l="1"/>
  <c r="AY127" i="18"/>
  <c r="AX127" i="18"/>
  <c r="AZ128" i="18"/>
  <c r="AW129" i="18" l="1"/>
  <c r="AY128" i="18"/>
  <c r="AX128" i="18"/>
  <c r="AZ129" i="18"/>
  <c r="AY129" i="18" l="1"/>
  <c r="AX12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B10" authorId="0" shapeId="0" xr:uid="{00000000-0006-0000-0000-000001000000}">
      <text>
        <r>
          <rPr>
            <sz val="9"/>
            <rFont val="宋体"/>
            <family val="3"/>
            <charset val="134"/>
          </rPr>
          <t>1英寸为2.54厘米
1英尺为30.48厘米</t>
        </r>
      </text>
    </comment>
    <comment ref="B11" authorId="0" shapeId="0" xr:uid="{00000000-0006-0000-0000-000002000000}">
      <text>
        <r>
          <rPr>
            <sz val="9"/>
            <rFont val="宋体"/>
            <family val="3"/>
            <charset val="134"/>
          </rPr>
          <t>1磅约为0.453公斤</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<sst xmlns="http://schemas.openxmlformats.org/spreadsheetml/2006/main" count="5620" uniqueCount="3875">
  <si>
    <t>人物背景 Background</t>
  </si>
  <si>
    <t>角色名</t>
  </si>
  <si>
    <t>诺菲雅</t>
  </si>
  <si>
    <t>个性</t>
  </si>
  <si>
    <t>对事物的诞生与逝去，激烈的情感充满好奇</t>
  </si>
  <si>
    <t>玩家</t>
  </si>
  <si>
    <t>霞秋羽</t>
  </si>
  <si>
    <t>每天都要尽可能的注视日升日落来见证时间的流逝</t>
  </si>
  <si>
    <t>故乡</t>
  </si>
  <si>
    <t>星界</t>
  </si>
  <si>
    <t>理念</t>
  </si>
  <si>
    <t xml:space="preserve">	在这片陌生的土地上寻找对抗虚无的答案</t>
  </si>
  <si>
    <t>背景</t>
  </si>
  <si>
    <t>远行者</t>
  </si>
  <si>
    <t>羁绊</t>
  </si>
  <si>
    <t>我为这片美丽而神奇的新土地而着迷。</t>
  </si>
  <si>
    <t>缺陷</t>
  </si>
  <si>
    <t xml:space="preserve">	我假装不懂这些人当地的语言以避免我不希望的交流。</t>
  </si>
  <si>
    <t>年龄</t>
  </si>
  <si>
    <t>发型</t>
  </si>
  <si>
    <t>高马尾</t>
  </si>
  <si>
    <t>性别</t>
  </si>
  <si>
    <t>女</t>
  </si>
  <si>
    <t>发色</t>
  </si>
  <si>
    <t>淡灰色</t>
  </si>
  <si>
    <t>人物衣装
外貌描述</t>
  </si>
  <si>
    <t>眼底闪烁着细碎的星光，情绪平静时像静谧的星空，激动时会流转起微光。平日里用发带束起高马尾，穿着一身方便行动的白色轻型皮甲，腰间挂着一把长剑和腰包。</t>
  </si>
  <si>
    <t>身高</t>
  </si>
  <si>
    <t>176cm</t>
  </si>
  <si>
    <t>肤色</t>
  </si>
  <si>
    <t>白</t>
  </si>
  <si>
    <t>体重</t>
  </si>
  <si>
    <t>56kg</t>
  </si>
  <si>
    <t>瞳色</t>
  </si>
  <si>
    <t>银蓝色</t>
  </si>
  <si>
    <t>背景特性</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</si>
  <si>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</si>
  <si>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语言</t>
  </si>
  <si>
    <t>通用语</t>
  </si>
  <si>
    <t>精灵语</t>
  </si>
  <si>
    <t>天界语</t>
  </si>
  <si>
    <t>木族语</t>
  </si>
  <si>
    <t>背景故事</t>
  </si>
  <si>
    <t>我出生在星光位面那片银色的虚空里，那里没有日出日落，没有四季更迭，万物永恒不老，时间像一条静止的河 —— 我在那里生活了 345 年，看着同胞们在永恒的沉思里慢慢麻木，看着星界的光永远明亮却毫无温度。
我开始厌倦这种 “没有终点的存在”：没有成长，没有离别，没有 “完成一件事” 的喜悦，连生命本身都因为永恒而失去了重量。我想知道 “时间流逝” 是什么感觉，想看看会枯萎的花、会老去的人、会被黑夜吞噬的夕阳 —— 于是我背着竖琴，以 “远行者” 的身份，踏上了前往费伦大陆的旅途。
来到这片陌生的土地后，我找到了对抗虚无的方式：每天清晨追着日出，傍晚守着日落，用这个仪式来标记时间的流逝，证明 “我真的在活着”。
我着迷于费伦的一切：春日的樱花会在一夜之间绽放又凋零，凡人会为了一句誓言奔赴生死，篝火会在黎明前熄灭却留下温暖的余温 —— 这些都是星界永远不会有的 “真实”。我不想卷入琐碎的纷争，只想安静地做一个观察者，记录下所有短暂却炽热的瞬间。
但我也知道，我的旅途不止于此，我也不可能永远只是一个观察者，在这片陌生的土地上，或许我会找到属于我的友谊与羁绊。</t>
  </si>
  <si>
    <t>熟练工具</t>
  </si>
  <si>
    <t>竖琴</t>
  </si>
  <si>
    <t>人物形象</t>
  </si>
  <si>
    <t>种族特性</t>
  </si>
  <si>
    <t>名称</t>
  </si>
  <si>
    <t>描述</t>
  </si>
  <si>
    <t>种族</t>
  </si>
  <si>
    <t>精灵</t>
  </si>
  <si>
    <t>星光步</t>
  </si>
  <si>
    <t xml:space="preserve"> 使用一个附赠动作，你能魔法地传送到30尺内一处你可见且未被占据的空间里。你能使用本特质的次数与你的熟练加值相同，当你完成一次长休后，你恢复所有已使用的次数。</t>
  </si>
  <si>
    <t>亚种</t>
  </si>
  <si>
    <t>星界精灵</t>
  </si>
  <si>
    <t>黑暗视觉</t>
  </si>
  <si>
    <t>在微光光照下，你身边60尺内可以视为等同于明亮光照。而在黑暗中，该范围内可视为等同于微光光照。你无法在黑暗中分辨颜色，只能看到有灰度的黑白画面。</t>
  </si>
  <si>
    <t>子职</t>
  </si>
  <si>
    <t>Lv</t>
  </si>
  <si>
    <t>敏锐感官</t>
  </si>
  <si>
    <t>你拥有察觉的技能熟练项。</t>
  </si>
  <si>
    <t>主职业</t>
  </si>
  <si>
    <t>战士</t>
  </si>
  <si>
    <t>魔射手</t>
  </si>
  <si>
    <t>阵营</t>
  </si>
  <si>
    <t>守序中立</t>
  </si>
  <si>
    <t>星界火</t>
  </si>
  <si>
    <t xml:space="preserve">你习得下列一项你选择的戏法：舞光术Dacing Lights 、 光亮术Light 、或 圣火术Sacred Flame 。你施展该戏法的施法属性为智力、感知、或魅力。（选择此种族的时候决定）。 </t>
  </si>
  <si>
    <t>精类血统</t>
  </si>
  <si>
    <t>你进行对抗魅惑的豁免时具有优势，并且不会因魔法效应而陷入睡眠。</t>
  </si>
  <si>
    <t>兼职1</t>
  </si>
  <si>
    <t>兼职2</t>
  </si>
  <si>
    <t>熟练</t>
  </si>
  <si>
    <t>星界出神</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</si>
  <si>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界位面的实体经历，神秘地获得了这些熟练，这个好处会一直持续到你完成下一次长休。 </t>
  </si>
  <si>
    <t>经验值</t>
  </si>
  <si>
    <t>等级</t>
  </si>
  <si>
    <t>速度</t>
  </si>
  <si>
    <t>你的基础步行速度为30尺</t>
  </si>
  <si>
    <t>属性</t>
  </si>
  <si>
    <t>回气</t>
  </si>
  <si>
    <t>你拥有少量精力储备可用来保护自己免受伤害。
你可以在自己回合内用一个附赠动作恢复生命值，其总值为1d10＋你的战士职业等级。
你必须完成一次短休或长休才能再次使用该特性。</t>
  </si>
  <si>
    <t>调整值</t>
  </si>
  <si>
    <t>护甲熟练</t>
  </si>
  <si>
    <t>全部护甲、盾牌</t>
  </si>
  <si>
    <t>专长</t>
  </si>
  <si>
    <t>力量</t>
  </si>
  <si>
    <t>武器熟练</t>
  </si>
  <si>
    <t>简易武器、军用武器</t>
  </si>
  <si>
    <t>敏捷</t>
  </si>
  <si>
    <t>动作如潮</t>
  </si>
  <si>
    <t>第2级起，你可以在短时间内突破极限，以使你在自己回合内执行一个额外的动作。
该特性在使用后必须完成一次短休或长休才能再使用。
第17级起，你可在休息前使用两次该特性，但每一回合只能使用一次。</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</si>
  <si>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</si>
  <si>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 -5减值。若本次攻击中，则其伤害掷骰获得 +10加值。</t>
  </si>
  <si>
    <t>魔射手学识</t>
  </si>
  <si>
    <t>奥术射击</t>
  </si>
  <si>
    <t>缠绕箭</t>
  </si>
  <si>
    <t>暗影箭</t>
  </si>
  <si>
    <t>AC</t>
  </si>
  <si>
    <t>体型</t>
  </si>
  <si>
    <t>中型</t>
  </si>
  <si>
    <t>劣势</t>
  </si>
  <si>
    <t>技能</t>
  </si>
  <si>
    <t>万事通</t>
  </si>
  <si>
    <t>护甲</t>
  </si>
  <si>
    <t>重量</t>
  </si>
  <si>
    <t>敏捷加值</t>
  </si>
  <si>
    <t>盾牌</t>
  </si>
  <si>
    <t>运动</t>
  </si>
  <si>
    <t>皮甲</t>
  </si>
  <si>
    <t>伤害类型</t>
  </si>
  <si>
    <t>特技</t>
  </si>
  <si>
    <t>长弓</t>
  </si>
  <si>
    <t>弹药（射程150/600），重型，双手</t>
  </si>
  <si>
    <t>箭</t>
  </si>
  <si>
    <t>巧手</t>
  </si>
  <si>
    <t>长剑</t>
  </si>
  <si>
    <t>两用（1d10）</t>
  </si>
  <si>
    <t>矢</t>
  </si>
  <si>
    <t>隐匿</t>
  </si>
  <si>
    <t>手斧</t>
  </si>
  <si>
    <t>轻型，投掷（射程20/60）</t>
  </si>
  <si>
    <t>弹</t>
  </si>
  <si>
    <t>投</t>
  </si>
  <si>
    <t>调查</t>
  </si>
  <si>
    <t>它</t>
  </si>
  <si>
    <t>奥秘</t>
  </si>
  <si>
    <t>历史</t>
  </si>
  <si>
    <t>自然</t>
  </si>
  <si>
    <t>宗教</t>
  </si>
  <si>
    <t>察觉</t>
  </si>
  <si>
    <t>洞悉</t>
  </si>
  <si>
    <t>法术位</t>
  </si>
  <si>
    <t>法术值</t>
  </si>
  <si>
    <t>驯养</t>
  </si>
  <si>
    <t>医疗</t>
  </si>
  <si>
    <t>生存</t>
  </si>
  <si>
    <t>说服</t>
  </si>
  <si>
    <t>背包1</t>
  </si>
  <si>
    <t>背包2</t>
  </si>
  <si>
    <t>欺诈</t>
  </si>
  <si>
    <t>威吓</t>
  </si>
  <si>
    <t>表演</t>
  </si>
  <si>
    <t>法术书</t>
  </si>
  <si>
    <t>专注</t>
  </si>
  <si>
    <t>仪式</t>
  </si>
  <si>
    <t>准备栏</t>
  </si>
  <si>
    <t>仪</t>
  </si>
  <si>
    <t>专</t>
  </si>
  <si>
    <t>戏法</t>
  </si>
  <si>
    <t>物品效果</t>
  </si>
  <si>
    <t>物品名称</t>
  </si>
  <si>
    <t>算盘</t>
  </si>
  <si>
    <t>-</t>
  </si>
  <si>
    <t>2gp</t>
  </si>
  <si>
    <t>物品重量</t>
  </si>
  <si>
    <t>吟游诗人</t>
  </si>
  <si>
    <t>1环</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</si>
  <si>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</si>
  <si>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</si>
  <si>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</si>
  <si>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牧师</t>
  </si>
  <si>
    <t>2环</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</si>
  <si>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</si>
  <si>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</si>
  <si>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</si>
  <si>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矮人语</t>
  </si>
  <si>
    <t>德鲁伊</t>
  </si>
  <si>
    <t>3环</t>
  </si>
  <si>
    <t>1gp</t>
  </si>
  <si>
    <t>圣武士</t>
  </si>
  <si>
    <t>V
言语</t>
  </si>
  <si>
    <t>4环</t>
  </si>
  <si>
    <t>吹矢</t>
  </si>
  <si>
    <t>巨人语</t>
  </si>
  <si>
    <t>游侠</t>
  </si>
  <si>
    <t>S
姿势</t>
  </si>
  <si>
    <t>5环</t>
  </si>
  <si>
    <t>弩矢</t>
  </si>
  <si>
    <t>侏儒语</t>
  </si>
  <si>
    <t>术士</t>
  </si>
  <si>
    <t>M
材料</t>
  </si>
  <si>
    <t>6环</t>
  </si>
  <si>
    <t>投石索弹丸</t>
  </si>
  <si>
    <t>0.04gp</t>
  </si>
  <si>
    <t>地精语</t>
  </si>
  <si>
    <t>邪术师</t>
  </si>
  <si>
    <t>7环</t>
  </si>
  <si>
    <t>子弹</t>
  </si>
  <si>
    <t>采用复兴时期物品数据，如需使用现代弹药请自行填写。</t>
  </si>
  <si>
    <t>3gp</t>
  </si>
  <si>
    <t>半身人语</t>
  </si>
  <si>
    <t>法师</t>
  </si>
  <si>
    <t>8环</t>
  </si>
  <si>
    <t>抗毒剂_小瓶</t>
  </si>
  <si>
    <t>喝下瓶内液体的生物在1小时内进行对抗对毒素的豁免检定时具有优势。它无法为不死生物或构装生物提供任何增益。</t>
  </si>
  <si>
    <t>兽人语</t>
  </si>
  <si>
    <t>9环</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</si>
  <si>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</si>
  <si>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</si>
  <si>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</si>
  <si>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深渊语</t>
  </si>
  <si>
    <t>法球</t>
  </si>
  <si>
    <t>20gp</t>
  </si>
  <si>
    <t>权杖</t>
  </si>
  <si>
    <t>龙语</t>
  </si>
  <si>
    <t>奇械师</t>
  </si>
  <si>
    <t>法杖</t>
  </si>
  <si>
    <t>5gp</t>
  </si>
  <si>
    <t>深潜语</t>
  </si>
  <si>
    <t>魔杖</t>
  </si>
  <si>
    <t>炼狱语</t>
  </si>
  <si>
    <t>微型</t>
  </si>
  <si>
    <t>背包</t>
  </si>
  <si>
    <t>一个背包可以容纳1立方尺或30磅重的装备，你还可以将物品系在背包外面，例如一卷铺盖或是一捆绳索。</t>
  </si>
  <si>
    <t>原初语</t>
  </si>
  <si>
    <t>小型</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</si>
  <si>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</si>
  <si>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</si>
  <si>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粗腰桶</t>
  </si>
  <si>
    <t>一个粗腰桶可以容纳40加仑的液体或4立方尺的固体。</t>
  </si>
  <si>
    <t>地底通用语</t>
  </si>
  <si>
    <t>变化</t>
  </si>
  <si>
    <t>动作</t>
  </si>
  <si>
    <t>触及</t>
  </si>
  <si>
    <t>立即</t>
  </si>
  <si>
    <t>次元袋1</t>
  </si>
  <si>
    <t>次元袋2</t>
  </si>
  <si>
    <t>大型</t>
  </si>
  <si>
    <t>篮子</t>
  </si>
  <si>
    <t>篮子可以容纳2立方尺或40磅重的物品。</t>
  </si>
  <si>
    <t>0.4gp</t>
  </si>
  <si>
    <t>水族语</t>
  </si>
  <si>
    <t>塑能</t>
  </si>
  <si>
    <t>附赠动作</t>
  </si>
  <si>
    <t>自身</t>
  </si>
  <si>
    <t>1轮</t>
  </si>
  <si>
    <t>Exp</t>
  </si>
  <si>
    <t>巨型</t>
  </si>
  <si>
    <t>铺盖</t>
  </si>
  <si>
    <t>气族语</t>
  </si>
  <si>
    <t>防护</t>
  </si>
  <si>
    <t>1分钟</t>
  </si>
  <si>
    <t>15尺</t>
  </si>
  <si>
    <t>超巨型</t>
  </si>
  <si>
    <t>铃铛</t>
  </si>
  <si>
    <t>刻洛语</t>
  </si>
  <si>
    <t>死灵</t>
  </si>
  <si>
    <t>动作或仪式</t>
  </si>
  <si>
    <t>30尺</t>
  </si>
  <si>
    <t>10分钟</t>
  </si>
  <si>
    <t>毯子</t>
  </si>
  <si>
    <t>0.5gp</t>
  </si>
  <si>
    <t>人鱼语</t>
  </si>
  <si>
    <t>预言</t>
  </si>
  <si>
    <t>1分钟或仪式</t>
  </si>
  <si>
    <t>60尺</t>
  </si>
  <si>
    <t>1小时</t>
  </si>
  <si>
    <t>装备同调数量</t>
  </si>
  <si>
    <t>滑轮组</t>
  </si>
  <si>
    <t>一组滑轮组，其中配有一根绳索绕过轮组中，其上还装着一个系物的钩子。滑轮组可以让你提起相当于你正常举重四倍重量的物件。</t>
  </si>
  <si>
    <t>牛头人语</t>
  </si>
  <si>
    <t>咒法</t>
  </si>
  <si>
    <t>90尺</t>
  </si>
  <si>
    <t>8小时</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</si>
  <si>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</si>
  <si>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</si>
  <si>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</si>
  <si>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斯芬克斯语</t>
  </si>
  <si>
    <t>附魔</t>
  </si>
  <si>
    <t>120尺</t>
  </si>
  <si>
    <t>24小时</t>
  </si>
  <si>
    <t>玻璃瓶</t>
  </si>
  <si>
    <t>吉斯语</t>
  </si>
  <si>
    <t>幻术</t>
  </si>
  <si>
    <t>150尺</t>
  </si>
  <si>
    <t>专注，至多1轮</t>
  </si>
  <si>
    <t>水桶</t>
  </si>
  <si>
    <t>水桶可以容纳3加仑的液体或½立方尺的固体。</t>
  </si>
  <si>
    <t>0.05gp</t>
  </si>
  <si>
    <t>象族语</t>
  </si>
  <si>
    <t>300尺</t>
  </si>
  <si>
    <t>专注，至多1分钟</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</si>
  <si>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</si>
  <si>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</si>
  <si>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维多肯语</t>
  </si>
  <si>
    <t>自身(5尺半径)</t>
  </si>
  <si>
    <t>专注，至多10分钟</t>
  </si>
  <si>
    <t>蜡烛</t>
  </si>
  <si>
    <t>一只蜡烛可以为其身边5尺半径范围提供明亮光照，以及该范围外5尺的微光光照。蜡烛的照明效果可以持续1小时。</t>
  </si>
  <si>
    <t>0.01gp</t>
  </si>
  <si>
    <t>梦族语</t>
  </si>
  <si>
    <t>自身(30尺半径)</t>
  </si>
  <si>
    <t>专注，至多1小时</t>
  </si>
  <si>
    <t>弩矢匣</t>
  </si>
  <si>
    <t>一只木匣能装二十支弩矢。</t>
  </si>
  <si>
    <t>狮族语</t>
  </si>
  <si>
    <t>自身(15尺立方)</t>
  </si>
  <si>
    <t>10日</t>
  </si>
  <si>
    <t>地图或卷轴匣</t>
  </si>
  <si>
    <t>一个圆柱形皮匣能够装上十张卷起的纸或是五张卷起的羊皮纸。</t>
  </si>
  <si>
    <t>阿兰寇拉语</t>
  </si>
  <si>
    <t>自身(30尺锥状)</t>
  </si>
  <si>
    <t>7日</t>
  </si>
  <si>
    <t>链条_10尺</t>
  </si>
  <si>
    <t>一根链条有10点生命值。它可以被一次成功的DC20力量检定挣断。</t>
  </si>
  <si>
    <t>哈多兹鼯猴人语</t>
  </si>
  <si>
    <t>自身(30尺线状)</t>
  </si>
  <si>
    <t>30日</t>
  </si>
  <si>
    <t>粉笔_1块</t>
  </si>
  <si>
    <t>斯里克林语</t>
  </si>
  <si>
    <t>1里</t>
  </si>
  <si>
    <t>特殊</t>
  </si>
  <si>
    <t>箱子</t>
  </si>
  <si>
    <t>一个箱子可以容纳12立方尺或300磅重的物品。</t>
  </si>
  <si>
    <t>视野内</t>
  </si>
  <si>
    <t>直到被解除</t>
  </si>
  <si>
    <t>攀爬工具</t>
  </si>
  <si>
    <t>一套攀爬工具包括特制的岩钉，靴子包头，手套和系带。你可以用一个动作来运用攀爬工具锚定自己；此时你不会从锚定处摔落超过25尺，且在解除锚定前无法从锚定处向外攀爬超过25尺。</t>
  </si>
  <si>
    <t>直至被解除或被触发</t>
  </si>
  <si>
    <t>普通服装</t>
  </si>
  <si>
    <t>直至被驱散</t>
  </si>
  <si>
    <t>表演服装</t>
  </si>
  <si>
    <t>高档服装</t>
  </si>
  <si>
    <t>15gp</t>
  </si>
  <si>
    <t>旅行者服装</t>
  </si>
  <si>
    <t>材料包</t>
  </si>
  <si>
    <t>材料包是一个防水的皮质小小包，其内有间格用以放置各种材料成分以及其它你需要用以施展法术的特殊物品。某些有着特定价格的材料不包含在材料包中（详见相关法术的描述内容）。</t>
  </si>
  <si>
    <t>撬棍</t>
  </si>
  <si>
    <t>在适当的地方使用撬棍时，可以让相应的力量检定具有优势。</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</si>
  <si>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</si>
  <si>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</si>
  <si>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图腾</t>
  </si>
  <si>
    <t>守序善良</t>
  </si>
  <si>
    <t>中立善良</t>
  </si>
  <si>
    <t>混乱善良</t>
  </si>
  <si>
    <t>木制法杖</t>
  </si>
  <si>
    <t>绝对中立</t>
  </si>
  <si>
    <t>混乱中立</t>
  </si>
  <si>
    <t>紫衫魔杖</t>
  </si>
  <si>
    <t>守序邪恶</t>
  </si>
  <si>
    <t>中立邪恶</t>
  </si>
  <si>
    <t>混乱邪恶</t>
  </si>
  <si>
    <t>渔具</t>
  </si>
  <si>
    <t>一套渔具工具包中，装有一根木杆、丝线、软木转轴、铅坠、天鹅绒饵以及窄眼网。</t>
  </si>
  <si>
    <t>扁瓶或大杯</t>
  </si>
  <si>
    <t>一个扁瓶或大杯可以容纳1品脱的液体。</t>
  </si>
  <si>
    <t>0.02gp</t>
  </si>
  <si>
    <t>熟练加值</t>
  </si>
  <si>
    <t>爪钩</t>
  </si>
  <si>
    <t>锤子</t>
  </si>
  <si>
    <t>大锤</t>
  </si>
  <si>
    <t>医疗包</t>
  </si>
  <si>
    <t>一个医疗用小皮包中，装有绷带、药膏和夹板。医疗包可以使用十次。你可以使用一个动作，并花费一次使用次数来为一个生命值为0的生物稳定伤势，而无需进行相应的感知（医药）检定。</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</si>
  <si>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</si>
  <si>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</si>
  <si>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徽章</t>
  </si>
  <si>
    <t>圣物匣</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</si>
  <si>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</si>
  <si>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</si>
  <si>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沙漏</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</si>
  <si>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</si>
  <si>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</si>
  <si>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墨水_1盎司瓶</t>
  </si>
  <si>
    <t>墨水笔</t>
  </si>
  <si>
    <t>壶或罐</t>
  </si>
  <si>
    <t>爬梯_10尺</t>
  </si>
  <si>
    <t>0.1gp</t>
  </si>
  <si>
    <t>油灯</t>
  </si>
  <si>
    <t>一只油灯可以为其身边15尺半径范围提供明亮光照，以及该范围外30尺的微光光照。点亮的油灯每6小时消耗一扁瓶灯油（1品脱）。</t>
  </si>
  <si>
    <t>牛眼提灯</t>
  </si>
  <si>
    <t>一盏牛眼提灯可以为前方60尺的锥状区域提供明亮光照，以及该范围外60尺的微光光照。点亮的牛眼提灯每6小时消耗一扁瓶的灯油（1品脱）。</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</si>
  <si>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</si>
  <si>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</si>
  <si>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锁</t>
  </si>
  <si>
    <t>每把锁与一把钥匙相配套。不使用钥匙时，一个具有盗贼工具熟练项的生物可以通过一次成功的DC15敏捷检定撬开这把锁。你的DM可以决定是否能够用更高的价格购买更好的锁。</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</si>
  <si>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</si>
  <si>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</si>
  <si>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100gp</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</si>
  <si>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</si>
  <si>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</si>
  <si>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野炊工具</t>
  </si>
  <si>
    <t>一个野炊工具锡盒包括一只茶杯和一些简易餐具。盒子被夹在一起，并且其中一面能够被用作一只煎锅而另一面则可以作为一只碟子或是浅碗。</t>
  </si>
  <si>
    <t>0.2gp</t>
  </si>
  <si>
    <t>钢面镜</t>
  </si>
  <si>
    <t>CR</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</si>
  <si>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</si>
  <si>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</si>
  <si>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纸_每张</t>
  </si>
  <si>
    <t>1/8</t>
  </si>
  <si>
    <t>羊皮纸_每张</t>
  </si>
  <si>
    <t>1/4</t>
  </si>
  <si>
    <t>香水_小瓶</t>
  </si>
  <si>
    <t>1/2</t>
  </si>
  <si>
    <t>矿工镐</t>
  </si>
  <si>
    <t>岩钉</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</si>
  <si>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</si>
  <si>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</si>
  <si>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长杆_10尺</t>
  </si>
  <si>
    <t>铁壶</t>
  </si>
  <si>
    <t>一个铁壶可以容纳1加仑的液体。</t>
  </si>
  <si>
    <t>治疗药水</t>
  </si>
  <si>
    <t>一种红色的魔力药剂，可以使饮用者恢复2d4+2的生命值。喝药或者喂人喝药需要使用一个动作。</t>
  </si>
  <si>
    <t>小包</t>
  </si>
  <si>
    <r>
      <rPr>
        <sz val="11"/>
        <color theme="1"/>
        <rFont val="宋体"/>
        <charset val="134"/>
        <scheme val="minor"/>
      </rPr>
      <t>一个布料或皮革制成的小包可以装20发弹丸或50发吹矢，或者其他东西。用来装施法材料成分的小包则成为材料包（详见前文）。一个小包最多可以容纳</t>
    </r>
    <r>
      <rPr>
        <sz val="11"/>
        <color theme="1"/>
        <rFont val="Tahoma"/>
        <family val="2"/>
      </rPr>
      <t>⅕</t>
    </r>
    <r>
      <rPr>
        <sz val="11"/>
        <color theme="1"/>
        <rFont val="宋体"/>
        <charset val="134"/>
        <scheme val="minor"/>
      </rPr>
      <t>立方尺或6磅重的物体。</t>
    </r>
  </si>
  <si>
    <t>箭袋</t>
  </si>
  <si>
    <t>一只箭袋可以盛装20支箭。</t>
  </si>
  <si>
    <t>便携式攻城锤</t>
  </si>
  <si>
    <t>你可以使用一具便携式攻城锤破门。此时你破门的力量检定具有 +4加值。如果另一名角色从旁协助，则你破门的力量检定因此而具有优势。</t>
  </si>
  <si>
    <t>4gp</t>
  </si>
  <si>
    <t>口粮_1日份</t>
  </si>
  <si>
    <t>适合长途旅行携带的高能量干粮，包括牛肉干、干果、饼干和坚果等。</t>
  </si>
  <si>
    <t>长袍</t>
  </si>
  <si>
    <t>麻绳_50尺</t>
  </si>
  <si>
    <t>麻质的绳索，拥有2点生命值，且可以通过一次成功的DC17力量检定扯断。</t>
  </si>
  <si>
    <t>丝绳_50尺</t>
  </si>
  <si>
    <t>丝质的绳索，拥有2点生命值，且可以通过一次成功的DC17力量检定扯断。</t>
  </si>
  <si>
    <t>麻袋</t>
  </si>
  <si>
    <t>一个麻袋可以容纳最多1立方尺或30磅重的装备。</t>
  </si>
  <si>
    <t>商用天平</t>
  </si>
  <si>
    <t>一架天平包括一个小的衡平、一对托盘和一套共重2磅的砝码。它可以用来称量小物件的精细重量（比如稀有贵金属或贸易货物），以便估价。</t>
  </si>
  <si>
    <t>封蜡</t>
  </si>
  <si>
    <t>铲子</t>
  </si>
  <si>
    <t>哨子</t>
  </si>
  <si>
    <t>玺戒</t>
  </si>
  <si>
    <t>肥皂</t>
  </si>
  <si>
    <t>硬皮封面的法术书是法师们的必须品，为方便记录法术，其通常都留有100张羊皮纸空书页。</t>
  </si>
  <si>
    <t>长铁钉_10根</t>
  </si>
  <si>
    <t>望远镜</t>
  </si>
  <si>
    <t>从望远镜中观察到的物品能放大其两倍大小。</t>
  </si>
  <si>
    <t>1000gp</t>
  </si>
  <si>
    <t>双人帐篷</t>
  </si>
  <si>
    <t>一个简单轻便的双人帆布帐篷。</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</si>
  <si>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</si>
  <si>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</si>
  <si>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</si>
  <si>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</si>
  <si>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小瓶</t>
  </si>
  <si>
    <t>一个小瓶可以容纳最多4盎司的液体。</t>
  </si>
  <si>
    <t>水袋</t>
  </si>
  <si>
    <t>一个水袋可以容纳最多4品脱的液体。</t>
  </si>
  <si>
    <t>磨刀石</t>
  </si>
  <si>
    <t>炼金工具</t>
  </si>
  <si>
    <t>炼金工具可以用来制作有用的化合物，如强酸或炽火胶。
组件Components。炼金工具包括两只玻璃烧杯、一个铁架台、一根玻璃搅拌棒、一个小研钵和药杵，以及一袋常用炼金术材料，包括盐、铁粉、纯净水。
奥秘Arcana。炼金工具熟练项可以让你在进行鉴定药水或类似物质的奥秘检定中获得更多信息。
调查Investigation。当你调查一个区域的线索时，如果该区域曾使用过任何化合物或其他物质，炼金工具熟练项将使你对此具有额外的洞察力。
道具制作Alchemical Crafting。 你可以使用这套工具熟练制作炼金道具。角色可以花钱收集原材料，每磅材料花费50金币。DM可以允许角色使用指定技能进行检定时具有优势。
作为长休的一部分，你可以使用炼金工具制作一份剂量的强酸、炽火胶、抗毒剂、油、香水或者香皂。从你所携带的原材料总价值中减去所制作物品价值的一半。
炼金工具Alchemist’s Supplies 
用途   DC
制造一股浓烟 10
鉴定一瓶药水 10
鉴定一种物质 15
点火 15
中和强酸 20</t>
  </si>
  <si>
    <t>酿酒工具</t>
  </si>
  <si>
    <t>酿酒即是酿造酒精饮料。除了酿酒以外，这套程序还能用于蒸馏淡水。麦酒的发酵需要等待好几周时间，但酿造工作只需要几个小时。
组件Components。酿酒工具包括一个大玻璃罐、一些酵母、一根虹吸管，以及几尺长的管子。
历史History。酿酒工具熟练项能让你在进行与酒大有关联的事件的智力（历史）检定时有更多的了解。
医药Medicine。当你治疗酒精中毒的病人，或你能使用酒精来减轻疼痛时，酿酒工具熟练项会给你更多的启示。
游说Persuasion。酒逢知己千杯少。酿酒工具熟练项能让你向他人提供私酿的美酒，借此改善关系。
饮用水Potable Water。你的酿造知识允许你用非饮用水蒸馏纯净水。你在一次长休中可以蒸馏出6加仑的淡水，而一次短休则只有1加仑。
酿酒工具Brewer’s Supplies
用途   DC
检查饮品中的毒素或杂质 10
鉴定酒精饮料 15
抵抗酒精的影响 20</t>
  </si>
  <si>
    <t>书法工具</t>
  </si>
  <si>
    <t>书法将写字升华为富有美感的艺术形式。
书法家用独特的风格创作出赏心悦目的文字。他们的工具也提供了验证文稿真伪的能力，前提是书法家要花费数个小时来不断临摹文稿，以掌握其书写风格和结构特征。
组件Components。书法工具包括墨水、一打羊皮纸，以及三支羽毛笔。
奥秘Arcana。虽然书法对于破解魔法密文来说没什么作用，但是书法工具熟练项至少能让你判断出这堆鬼画符的作者是谁。
历史History。该工具熟练项可以在进行分析或调查文本内容的成功检定中获得好处，例如古代文稿、卷轴，还有包括石头上的符文、壁画中的内容或者诸如此类的的其他文本。
解读藏宝图Decipher Treasure Map。该工具熟练项意味着你具有解读地图的专业知识。你可以进行一次智力检定以确定地图的年代，地图是否包含任何隐藏的信息，或类似的内容。
书法工具Calligrapher’s Supplies
用途   DC
判断非魔法手迹的作者 10
理解作者的心态 15
现场伪造文稿 15
伪造签名 20</t>
  </si>
  <si>
    <t>木匠工具</t>
  </si>
  <si>
    <t>木工技能允许角色打造木结构的物品。木匠可以建造房屋、棚屋、木制橱柜或类似的物品。
组件Components。木匠工具包括一把锯子、一把锤子、一些钉子、一把短斧、一把角尺、一把直尺，一把扁斧，一具木工刨和一把凿子。
历史History。该工具熟练项有助于你分辨木结构建筑和其他大型木制品的用途和来历。
调查Investigation。当你调查木结构建筑时具有额外的洞察力，因为你深谙营造法则，可以发现隐藏的区域。
察觉Perception。你可以发现木墙或地板的不自然之处，从而更容易找到陷阱门和秘密通道。
隐匿Stealth。你可以很快地判断出木地板上的薄弱点，这样就可以更容易地避开，以免发出嘎吱声。
加固Fortify。消耗原材料并进行1分钟的加工，你可以使一扇门或窗更难强行打开。打开门窗的DC值增加5点。
临时住所Temporary Shelter。作为长休的一部分，你可以建造一个棚屋或类似的遮蔽物，使你的团队能在一个阴凉干燥的环境中休息。因为它只是草草搭建起来的临时住所，所以在1d3天后便会倒塌。
木匠工具Carpenter’s Tools
用途   DC
建造简单的木结构 10
设计复杂的木结构 15
在木墙上找到一个薄弱点 15
撬门 20</t>
  </si>
  <si>
    <t>8gp</t>
  </si>
  <si>
    <t>制图工具</t>
  </si>
  <si>
    <t>使用制图工具，您可以创建精确的地图做旅行为自己和那些来找你更容易。这些地图可以从山脉的大规模描述到显示地下城平面布局的图表。
组件Components。制图工具包括一支鹅毛笔、墨水、羊皮纸，一副圆规、卡尺，和一把直尺。
奥秘Arcana、历史History、宗教Religion。当你使用这些技能时，你可以利用有关于地图和定位的知识来挖掘更详细的信息。例如，你可以在发现一张地图中的隐藏信息，确定地图绘制的年代以判断地理特征从那时起是否发生了变化，等等。
自然Nature。你对自然地理的熟悉使你更容易回答或解释有关于你周遭地形的问题。
求生Survival。你拥有的地理知识能帮你找到走出荒野的道路，判断有可能找到村庄或城镇的方向，以避免迷路。你研究过大量具有共通模式的地图，以至于对贸易路线的演变和定居点的分布格局了然于心。
绘制地图Craft a map。旅行时，除了参加其他活动外，你还可以画一张地图。
制图工具Cartographer’s Tools
用途   DC
确定地图的年代和来历 10
估测地标的方向和距离 15
辨别地图的真伪 15
填补地图上缺漏的部分 20</t>
  </si>
  <si>
    <t>鞋匠工具</t>
  </si>
  <si>
    <t>虽然鞋匠的生意对冒险者来说似乎太卑微了，但一双好鞋子却能在崎岖的荒野和致命的地牢帮上大忙。
组件Components。鞋匠的工具包括一把锤子、一支锥子、一柄小刀、一个鞋架、一把切刀、备用皮革和线。
奥秘Arcana、历史History。你对鞋子的知识有助于你识别魔法靴的魔法属性或这些物品的历史。
调查Investigation。鞋子能透露出的秘密远比你想象的多。你可以通过检查鞋子的磨损和污迹来推断出某人最近到过什么样的地方。你的修鞋经验能让你更好地判断出导致鞋子磨损的原因。
修鞋Maintain Shoes。作为长休的一部分，你可以保养同伴的鞋子。至多六个由你选定的穿着你修补过的鞋子的生物，接下来的24小时内，在需要进行对抗力竭Exhaustion状态的豁免检定前可以旅行至多10小时。
秘密夹层Craft Hidden Compartment。通过8小时的工作，你可以在一双鞋子内做出一个秘密夹层。这个夹层可以容纳一件至多长3寸、宽1寸的物品。你进行一次附带工具熟练加值的智力检定，以确定寻找夹层所需的智力（调查）检定DC值。
鞋匠工具Cobbler’s Tools
用途   DC
判断一双鞋子的年龄和来历 10
找出鞋后跟的秘密夹层 15</t>
  </si>
  <si>
    <t>厨师工具</t>
  </si>
  <si>
    <t>冒险可是个辛苦活儿。如果能和一位厨师一起旅行，你的伙食可比整天啃饼干嚼果脯好多了。
组件Components。厨师工具包括一个金属锅、餐刀、餐叉、一柄搅拌勺，和一柄长柄勺。
历史History。你对厨艺的了解允许你品味从餐饮习惯中透露出来的社会模式。
医药Medicine。进行治疗时，你可以改善药物的口感，使其不那么难以下咽。
求生Survival。寻找食物时，你可以把他人认为不能吃的玩意儿处理成可食用的东西。
准备饭菜Prepare Meals。 作为短休的一部分，你可以准备一顿美味的饭菜，帮助同伴恢复体力。在短休时，你和至多五个你所选择的生物每消耗一枚生命骰就可以多恢复1点生命值，只要你有机会使用你的厨师工具并且食材充足。
厨师工具Cook's Utensils 
用途   DC
稍微改善伙食 10
做一顿同样的饭 10
检验饭菜中的毒素或杂质 15</t>
  </si>
  <si>
    <t>玻璃匠工具</t>
  </si>
  <si>
    <t>具有玻璃匠工具熟练项的人不仅知道如何将玻璃吹制成形，还懂得生产玻璃制品的专业知识。
组件Components。这些工具包括一支吹管、一个小搓板、一些模具，和几把工钳。此外你还需要一个热源才能吹制玻璃。
奥秘Arcana、历史History。你的玻璃制造技术有助于检查玻璃制品，例如在藏宝库中发现的药剂瓶或玻璃物品。例如，你可以研究玻璃药瓶受到内容物的影响，以判断药水的效果。（药水可能留有残液、使玻璃变形或造成色斑。）
调查Investigation。当你调查一个拥有碎玻璃或玻璃制品等线索的区域时，你的知识能够提供帮助。
发现弱点Identify Weakness。通过1分钟的研究，你能找出玻璃制品的薄弱点。击打该物件的薄弱点能够造成双倍的伤害。
玻璃匠工具Glassblower’s Tools
用途   DC
判断玻璃的产地 10
判断一件玻璃制品曾经装过什么 20</t>
  </si>
  <si>
    <t>30gp</t>
  </si>
  <si>
    <t>珠宝匠工具</t>
  </si>
  <si>
    <t>珠宝匠工具的培训包括加工珠宝的基本技术，以及鉴定宝石的专业知识。
组件Components。珠宝匠工具包括一把小锯、小锤、锉刀、钳子，和镊子。
奥秘Arcana。珠宝匠工具熟练项让你能够了解各种宝石的魔法用途。这一能力在你对宝石或镶嵌宝石的物品进行奥秘检定时很有用处。
调查Investigation。当你检查珠宝类物件时，珠宝匠工具熟练项有助于你发现可能存在的线索。
鉴定宝石Identify Gems。 你能很快鉴定出宝石的种类和价值。
珠宝匠工具Eweler’s Tools 
用途   DC
宝石外观加工 15
鉴定宝石历史 20</t>
  </si>
  <si>
    <t>皮匠工具</t>
  </si>
  <si>
    <t>皮匠工具 Leatherworker's Tools
皮革加工的知识还包括兽皮特性、皮革盔甲和类似物品的学识。
组件Components。皮匠工具包括一把小刀、一柄小木槌、一台磨边机、一个打孔器、一个纺锤，以及一些皮革碎料。
奥秘Arcana。皮匠工具熟练项在你检查皮制魔法物品，如鞋子和部分斗篷时提供额外的洞察力。
调查Investigation。当你研究皮制物品或与之相关的线索时，你具有额外的洞察力，因为你对于皮革的专业知识能够发现他人忽略的细节。
皮革鉴定Identify Hides。 当你检查皮革物品时，你能分辨出皮料的种类以及运用的特殊工艺。例如，你能分辨出矮人制革工艺与半身人制革工艺的不同。
皮匠工具Leatherworker’s Tools 
用途   DC
皮革外观加工 10
检定皮革制品的历史 20</t>
  </si>
  <si>
    <t>泥瓦匠工具</t>
  </si>
  <si>
    <t>泥瓦匠工具允许你制造石质或砖制建筑。
组件Components。泥瓦匠工具包括泥刀、锤子、凿子、刷子、和角尺。
历史History。你的专业知识有助于你确定一座石质建筑的建造日期和用途，以及可能是谁建造了它。
调查Investigation。当你检查石质建筑中的区域时，你具有额外的洞察力。
察觉Perception。你可以在石墙或地板上发现不规则的地方，从而更容易找到陷阱门和秘密通道。
拆迁Demolition。你对砖石结构的知识可以让你发现墙壁的薄弱点。你的武器攻击会对这种建筑造成双倍伤害。
泥瓦匠工具Mason’s Tools
用途   DC
在石墙上开个小洞 10
找出石墙的薄弱点 20</t>
  </si>
  <si>
    <t>画家工具</t>
  </si>
  <si>
    <t>画家工具熟练项代表了你的素描和绘画能力。你也会对艺术史有所了解，这有助于你鉴赏艺术作品。
组件Components。画家工具包括画架、画布、颜料、画笔、炭笔，还有调色板。
奥秘Arcana、历史History、宗教Religion。你的专业知识有助于你了解任何与艺术有关的知识，比如一幅画作的魔法属性或在地下城中发现的奇怪壁画的来历。
调查Investigation、察觉Perception。当你检查一幅画作或类似的图画类艺术作品时，你的绘画功底可以给你额外的洞察力。
作画Painting and Drawing。作为短休或长休的一部分，你可以创作一件简单的艺术品。虽然你的画作可能不够精细，但你可以展现出一副图像或场景，或者快速还原出你所见过的一幅艺术品。
画家工具Painter’s Supplies
用途 DC
画一幅精确的肖像画 10
创作带有隐藏信息的画作 20</t>
  </si>
  <si>
    <t>陶匠工具</t>
  </si>
  <si>
    <t>陶匠工具用于制造各种各样的陶器，最典型的是陶罐和类似的器皿。
组件Components。陶匠工具包括穿刺针、骨架刀、刮刀、小刀，以及卡尺。
历史History。你的专业知识有助于你鉴定陶器，包括生产时间，以及它们可能的产地或产地文化。
调查Investigation、察觉 Perception。你在检查陶器时具有额外的洞察力，通过一些小细节来发现他人忽略的线索。
复原Reconstruction。通过检查陶器碎片，你可以推断出该物件原本、完整的形状及其可能的用途。
陶匠工具Potter’s Tools
用途   DC
确认一件陶器装过什么 10
制作一个可用的陶罐 15
找出一件陶器的薄弱点 20</t>
  </si>
  <si>
    <t>铁匠工具</t>
  </si>
  <si>
    <t>铁匠工具允许你加工金属，加热它来塑性变形、修复损坏，或者把钢锭加工成有用的物品。
组件Components。铁匠工具包括锤子、钳子、木炭、破布和磨刀石。
奥秘Arcana、历史History。当你检查金属物体，比如武器时，你的专业知识会给你额外的洞察力。
调查Investigation。在调查护甲、武器或其他金属制品时，你可以发现他人可能会忽略的线索并作出推论。
修复Repair。当你能够使用工具并且具备一处足以使金属热塑变形的明火时，你每花费1个小时的工作时间，就能为一件损坏的金属制品恢复10点生命值。
铁匠工具Smith’s Tools
用途   DC
磨刀 10
修复一套护甲 15
熔解非魔法金属物件 15</t>
  </si>
  <si>
    <t>修补工具</t>
  </si>
  <si>
    <t>修补工具用于修复各种普通物件。虽然你不能用修补工具制造很多东西，但你可以缝补衣服、磨砺锋刃，或是修补好破掉的链甲。
组件Components。修补工具包括各种手工用品、针线、磨刀石、一些零碎的布料和皮料，以及一小壶胶。
历史History。你可以确定物件的年龄和来历，即使你只剩下几块原件的碎片。
调查Investigation。当你检查一个损坏的物件时，你能推测出损坏的原因及时间。
修复Repair。你每花费1个小时的工作时间，就能为一件损坏的物件恢复10点生命值。你必须具有与之对应的修补材料。对于金属制品，你还需要具备一处足以使金属热塑变形的明火。
修补工具Tinker’s Tools 
用途   DC
临时修复一件报废设备 10
仅用一半时间修补物品 15
利用废料制造临时物品 20</t>
  </si>
  <si>
    <t>织布工具</t>
  </si>
  <si>
    <t>织布工具可以让你织布，并把它做成衣服。
组件Components。织布工具包括针线和一些碎布。你知道怎么操作织布机，但这种设备太大了，你无法携带。
奥秘Arcana、历史History。你的专业知识会让你在检查纺织品时具有额外的洞察力，包括斗篷和长袍。
调查Investigation。当你检查挂毯、布饰、服装或其他纺织品时，你的专业知识能让你发现他人可能会忽略的线索并作出推论。
缝补Repair。你可以在短休中修复一件损坏的纺织品。
制衣Craft Clothing。如果你有足够的布匹和线，你可以在长休中为一个生物制作一套服装。
织布工具Weaver‘s Tools
用途 DC
用废布做些小东西 10
打补丁 10
定制服装 15</t>
  </si>
  <si>
    <t>木雕工具</t>
  </si>
  <si>
    <t>木雕工具允许你加工负责的木制品，如木制令牌或箭杆。
组件Components。木雕工具包括是一把小刀、一把凿子，以及一把小锯子。
奥秘Arcana、历史History。当你检查木制品，如雕像或箭时，你的专业知识让你具有额外的洞察力。
自然Nature。当你检查树木时，你的知识让你具有额外的洞察力。
修复Repair。你可以在短休中修复一件损坏的木制品。
制箭Craft Arrows。你可以在短休中制作至多五支箭。在长休中你能做二十支。前提是你必须有足够的木料。
木雕工具Woodcarver’s Tools
用途 DC
制作一个小木雕 10
在木头上雕刻复杂花纹 15</t>
  </si>
  <si>
    <t>易容工具</t>
  </si>
  <si>
    <t>对于伪装者来说，易容工具是必不可少的，它可以让使用者轻易地改头换面。
组件Components。易容工具包括化妆品、染发剂、小道具，以及几套衣服。
欺瞒Deception。在某些情况下，一副伪装可以提高你撒谎的能力。
恐吓Intimidation。合适的伪装会让你看起来更可怕，不管你是想假扮成瘟疫患者来吓跑路人或是装成暴徒以恐吓一帮恶棍。
表演Performance。巧妙的化妆可以提升观众的体验，前提是化妆要设计得当，能够唤起想要的反应。
说服Persuasion。人们往往会信任穿制服的人。如果你伪装成一个权威人物，你与他人的交涉会更有说服力。
易容Create Disguise。你可以在长休中制造一套伪装物品。完成后你可以花费1分钟时间来变装。为了避免过度的关注，你一次只能携带一套伪装，除非你有一个背包或类似的方法来隐藏它们。每套伪装重1磅。
在其他时候，需要10分钟来制作一套适当修改外观的的伪装，而大幅改变外观则需要30分钟。
易容工具Disguise Kit
用途   DC
遮盖伤疤或特征性标记 10
识破他人的伪装 15
易容成另一个类人生物 20</t>
  </si>
  <si>
    <t>赌具描述</t>
  </si>
  <si>
    <t>文书伪造工具</t>
  </si>
  <si>
    <t>文书伪造工具通常用于伪造一份信用文书和模仿某人的印章或签名。
组件Components。文书伪造工具包括几种不同类型的墨水、各种羊皮纸和普通纸、几支鹅毛笔、印章和封蜡、金银叶饰，以及伪造蜡封的小型雕刻工具。
奥秘Arcana。文书伪造工具与奥秘技能搭配可以鉴定一件魔法物品的真伪。
欺瞒Deception。一份精心伪造的文书，比如贵族血统证明或管制区通行证，可以让你的谎言更有可信度。
历史History。文书伪造工具与你的历史知识相结合，可以让你更轻易地伪造历史文献或鉴定文献的真伪。
调查Investigation。当你检查一个物件时，文书伪造工具熟练项有助于你判断该物件是如何制成的，以及它的真伪。
其他工具Other Tools。 掌握其他工具的用法可以提高你所制赝品的可信度。例如，同时具有文书伪造工具和制图工具熟练项可以制造一份假地图。
快速伪造Quick Fake。 你在一次短休中可以伪造篇幅不超过1页的假文书。而一次长休中，你至多可以制造4页的文书。你进行一次附带文书伪造工具熟练加值的智力检定，以决定他人识破赝品的智力（调查）检定DC值。
文书伪造工具Forgery Kit 
用途   DC
伪造笔迹 15
伪造蜡封 20</t>
  </si>
  <si>
    <t>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t>
  </si>
  <si>
    <t>骰子_整副</t>
  </si>
  <si>
    <t>龙棋_整套</t>
  </si>
  <si>
    <t>纸牌_整副</t>
  </si>
  <si>
    <t>三龙牌_整副</t>
  </si>
  <si>
    <t>乐器描述</t>
  </si>
  <si>
    <t>草药工具</t>
  </si>
  <si>
    <t>草药工具熟练项允许你辨认植物并安全地提取有效成分。
组件Components。草药工具包括装药材的袋子、采集草药的剪钳和皮手套、研钵和药杵，以及几个玻璃瓶。
奥秘Arcana。你对药材的性味归经和功能主治的了解，使你在对植物进行魔法研究或试图鉴定药剂时具有额外的洞察力。
调查Investigation。当你调查一个长有植物的区域时，草药工具熟练项能帮助你发现那些其他人可能会忽视的细节或线索。
医药Medicine。你对草药医学的掌握有助于提高你使用药用植物治疗疾病和创伤的水平。
自然Nature、求生Survival。当你在野外旅行时，你的草药技能有助于辨认植物和找到一般人不知道的食物来源。
辨认植物Identify Plants。仅仅通过外观和气味，你就能快速辨认出大部分植物。
草药工具Herbalism Kit
用途   DC
发现植物 15
辨别药剂 20</t>
  </si>
  <si>
    <t>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t>
  </si>
  <si>
    <t>风笛</t>
  </si>
  <si>
    <t>鼓</t>
  </si>
  <si>
    <t>6gp</t>
  </si>
  <si>
    <t>扬琴</t>
  </si>
  <si>
    <t>长笛</t>
  </si>
  <si>
    <t>鲁特琴</t>
  </si>
  <si>
    <t>35gp</t>
  </si>
  <si>
    <t>里拉琴</t>
  </si>
  <si>
    <t>角号</t>
  </si>
  <si>
    <t>排箫</t>
  </si>
  <si>
    <t>12gp</t>
  </si>
  <si>
    <t>芦笛</t>
  </si>
  <si>
    <t>提琴</t>
  </si>
  <si>
    <t>领航工具</t>
  </si>
  <si>
    <t>领航工具熟练项可以帮助你根据星象来导航。它还帮助你研究海图和地图，同时增强你的方向感。
组件Components。导航的工具包括六分仪、罗盘、卡尺、直尺、羊皮纸、墨水和鹅毛笔。
生存Survival。领航工具的知识有助于避免迷路，也能让你推断最有可能出现道路和定居点的位置。
观测Sighting。通过仔细测量，你可以确定你在航海图上的位置以及当前的时间。
领航工具Navigator’s Tools
用途   DC
地图导航 10
海图定位 15</t>
  </si>
  <si>
    <t>制毒工具</t>
  </si>
  <si>
    <t>对于盗贼、刺客还有其他喜欢干些见不得人的勾当的人来说，制毒工具可谓是倍受青睐。它允许你利用各种材料制取毒素并使用它们。你的毒药学知识也有助于解毒。
组件Components。制毒工具包括玻璃瓶、研钵和杵、一些化学制剂，和一根玻璃搅拌棒。
历史History。你的毒药培训有助于你回想起有关于毒药的事件。
调查Investigation、察觉Perception。你的毒药学知识教会了你如何小心地处理这些物质，当你检查有毒物品或搜索与毒药有关的事件线索时具有优势。
医药Medicine。当你医治中毒的患者时，你的知识会让你知道如何为病人提供最好的处理。
自然Nature、求生Survival。你能分辨有毒的动植物。
操作毒药Handle Poison。你的熟练项允许你安全地操作或使用毒药，而不会令你自身暴露在毒素环境中。
制毒工具Poisoner’s Kit
用途   DC
辨认有毒物件 10
鉴定毒素效果 20</t>
  </si>
  <si>
    <t>盗贼工具</t>
  </si>
  <si>
    <t>专用于撬锁和解除陷阱的盗贼工具，也许是冒险者们最常用的工具了。熟练掌握这些工具还可以了解陷阱和锁的基本知识。
组件Components。盗贼工具包括一把小锉刀、一套开锁器、一面安装在金属柄上的小镜子、一把窄刃剪刀和一把镊子。
历史History。你对陷阱的知识能让你在回答关于以陷阱出名的名胜的问题具有额外的洞察力。
调查Investigation、察觉Perception。你在搜索陷阱时具有额外的洞察力，因为你已熟知各类陷阱的外在迹象。
设置陷阱Set a Trap。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
盗贼工具Thieves’ Tools
用途   DC
溜门撬锁 可变
解除陷阱 可变</t>
  </si>
  <si>
    <t>载具（陆运）</t>
  </si>
  <si>
    <t>——</t>
  </si>
  <si>
    <t>载具（水运）</t>
  </si>
  <si>
    <t>窃贼套组</t>
  </si>
  <si>
    <t>包括一个背包、一包1000粒的滚珠、10尺弦线、一个铃铛、五支蜡烛、一根撬棍、一把锤子、十支岩钉、一盏附盖提灯、两支扁瓶灯油、五天份口粮、一个火绒盒、和一个水袋。背包外还挂着50尺麻绳。</t>
  </si>
  <si>
    <t>优惠5gp</t>
  </si>
  <si>
    <t>大使套组</t>
  </si>
  <si>
    <t>包括一个箱子、两个地图或卷轴匣、一套高档服装、一瓶墨水、一支墨水笔、一盏油灯、两支扁瓶灯油、五张纸、一支小瓶香水、一块封蜡和一块肥皂。</t>
  </si>
  <si>
    <t>无优惠</t>
  </si>
  <si>
    <t>地城套组</t>
  </si>
  <si>
    <t>包括一个背包、一根撬棍、一把锤子、十支岩钉、十支火把、一个火绒盒、十天份口粮和一只水袋。背包外还挂着50尺麻绳。</t>
  </si>
  <si>
    <t>艺人套组</t>
  </si>
  <si>
    <t>包括一个背包、一卷铺盖、两套表演服装、五支蜡烛、五天份口粮、一个水袋和一套易容工具。</t>
  </si>
  <si>
    <t>优惠23gp</t>
  </si>
  <si>
    <t>探索套组</t>
  </si>
  <si>
    <t>包括一个背包、一卷铺盖、一套野炊工具、一个火绒盒、十支火把、十天份口粮和一个水袋。背包外还挂着50尺麻绳。</t>
  </si>
  <si>
    <t>祭司套组</t>
  </si>
  <si>
    <t>包括一个背包、一条毯子、十支蜡烛、一个火绒盒、一个募捐盒、两块熏香、一个香炉、祭袍、两天份口粮和一只水袋。</t>
  </si>
  <si>
    <t>优惠8gp</t>
  </si>
  <si>
    <t>学者套组</t>
  </si>
  <si>
    <t>包括一个背包、一本学科书、一瓶墨水、一只墨水笔、十张羊皮纸、一小袋沙和一把小刀。</t>
  </si>
  <si>
    <t>PHB</t>
  </si>
  <si>
    <t>XGE</t>
  </si>
  <si>
    <t>SCAG</t>
  </si>
  <si>
    <t>TCE</t>
  </si>
  <si>
    <t>EGtW</t>
  </si>
  <si>
    <t>BGG</t>
  </si>
  <si>
    <t>VGR</t>
  </si>
  <si>
    <t>FTD</t>
  </si>
  <si>
    <t>范型</t>
  </si>
  <si>
    <t>职业特性</t>
  </si>
  <si>
    <t>生命值成长</t>
  </si>
  <si>
    <t>生命骰</t>
  </si>
  <si>
    <t>期望值</t>
  </si>
  <si>
    <t>职业</t>
  </si>
  <si>
    <t>本职</t>
  </si>
  <si>
    <r>
      <rPr>
        <sz val="11"/>
        <color theme="1"/>
        <rFont val="宋体"/>
        <charset val="134"/>
      </rPr>
      <t>等级</t>
    </r>
  </si>
  <si>
    <r>
      <rPr>
        <sz val="11"/>
        <color theme="1"/>
        <rFont val="Times New Roman"/>
        <family val="1"/>
      </rPr>
      <t>1</t>
    </r>
    <r>
      <rPr>
        <sz val="11"/>
        <color theme="1"/>
        <rFont val="宋体"/>
        <charset val="134"/>
      </rPr>
      <t>环</t>
    </r>
  </si>
  <si>
    <r>
      <rPr>
        <sz val="11"/>
        <color theme="1"/>
        <rFont val="Times New Roman"/>
        <family val="1"/>
      </rPr>
      <t>2</t>
    </r>
    <r>
      <rPr>
        <sz val="11"/>
        <color theme="1"/>
        <rFont val="宋体"/>
        <charset val="134"/>
      </rPr>
      <t>环</t>
    </r>
  </si>
  <si>
    <r>
      <rPr>
        <sz val="11"/>
        <color theme="1"/>
        <rFont val="Times New Roman"/>
        <family val="1"/>
      </rPr>
      <t>3</t>
    </r>
    <r>
      <rPr>
        <sz val="11"/>
        <color theme="1"/>
        <rFont val="宋体"/>
        <charset val="134"/>
      </rPr>
      <t>环</t>
    </r>
  </si>
  <si>
    <r>
      <rPr>
        <sz val="11"/>
        <color theme="1"/>
        <rFont val="Times New Roman"/>
        <family val="1"/>
      </rPr>
      <t>4</t>
    </r>
    <r>
      <rPr>
        <sz val="11"/>
        <color theme="1"/>
        <rFont val="宋体"/>
        <charset val="134"/>
      </rPr>
      <t>环</t>
    </r>
  </si>
  <si>
    <r>
      <rPr>
        <sz val="11"/>
        <color theme="1"/>
        <rFont val="Times New Roman"/>
        <family val="1"/>
      </rPr>
      <t>5</t>
    </r>
    <r>
      <rPr>
        <sz val="11"/>
        <color theme="1"/>
        <rFont val="宋体"/>
        <charset val="134"/>
      </rPr>
      <t>环</t>
    </r>
  </si>
  <si>
    <r>
      <rPr>
        <sz val="11"/>
        <color theme="1"/>
        <rFont val="Times New Roman"/>
        <family val="1"/>
      </rPr>
      <t>6</t>
    </r>
    <r>
      <rPr>
        <sz val="11"/>
        <color theme="1"/>
        <rFont val="宋体"/>
        <charset val="134"/>
      </rPr>
      <t>环</t>
    </r>
  </si>
  <si>
    <r>
      <rPr>
        <sz val="11"/>
        <color theme="1"/>
        <rFont val="Times New Roman"/>
        <family val="1"/>
      </rPr>
      <t>7</t>
    </r>
    <r>
      <rPr>
        <sz val="11"/>
        <color theme="1"/>
        <rFont val="宋体"/>
        <charset val="134"/>
      </rPr>
      <t>环</t>
    </r>
  </si>
  <si>
    <r>
      <rPr>
        <sz val="11"/>
        <color theme="1"/>
        <rFont val="Times New Roman"/>
        <family val="1"/>
      </rPr>
      <t>8</t>
    </r>
    <r>
      <rPr>
        <sz val="11"/>
        <color theme="1"/>
        <rFont val="宋体"/>
        <charset val="134"/>
      </rPr>
      <t>环</t>
    </r>
  </si>
  <si>
    <r>
      <rPr>
        <sz val="11"/>
        <color theme="1"/>
        <rFont val="Times New Roman"/>
        <family val="1"/>
      </rPr>
      <t>9</t>
    </r>
    <r>
      <rPr>
        <sz val="11"/>
        <color theme="1"/>
        <rFont val="宋体"/>
        <charset val="134"/>
      </rPr>
      <t>环</t>
    </r>
  </si>
  <si>
    <t>邪术师等级</t>
  </si>
  <si>
    <t>1d6</t>
  </si>
  <si>
    <t>野蛮人</t>
  </si>
  <si>
    <t>狂战士</t>
  </si>
  <si>
    <t>图腾武者</t>
  </si>
  <si>
    <t>狂热者</t>
  </si>
  <si>
    <t>先祖守卫</t>
  </si>
  <si>
    <t>风暴先驱</t>
  </si>
  <si>
    <t>战狂</t>
  </si>
  <si>
    <t>狂野魔法道途</t>
  </si>
  <si>
    <t>野兽道途</t>
  </si>
  <si>
    <t>巨人道途</t>
  </si>
  <si>
    <t>逸闻学院</t>
  </si>
  <si>
    <t>勇气学院</t>
  </si>
  <si>
    <t>迷惑学院</t>
  </si>
  <si>
    <t>剑舞学院</t>
  </si>
  <si>
    <t>低语学院</t>
  </si>
  <si>
    <t>创造学院</t>
  </si>
  <si>
    <t>雄辩学院</t>
  </si>
  <si>
    <t>精魂学院</t>
  </si>
  <si>
    <t>1d8</t>
  </si>
  <si>
    <t>知识领域</t>
  </si>
  <si>
    <t>生命领域</t>
  </si>
  <si>
    <t>光明领域</t>
  </si>
  <si>
    <t>自然领域</t>
  </si>
  <si>
    <t>风暴领域</t>
  </si>
  <si>
    <t>诡术领域</t>
  </si>
  <si>
    <t>战争领域</t>
  </si>
  <si>
    <t>锻造领域</t>
  </si>
  <si>
    <t>坟墓领域</t>
  </si>
  <si>
    <t>奥秘领域</t>
  </si>
  <si>
    <t>秩序领域</t>
  </si>
  <si>
    <t>和平领域</t>
  </si>
  <si>
    <t>暮光领域</t>
  </si>
  <si>
    <t>大地结社</t>
  </si>
  <si>
    <t>月亮结社</t>
  </si>
  <si>
    <t>梦境结社</t>
  </si>
  <si>
    <t>牧人结社</t>
  </si>
  <si>
    <t>孢子结社</t>
  </si>
  <si>
    <t>星辰结社</t>
  </si>
  <si>
    <t>野火结社</t>
  </si>
  <si>
    <t>总等级</t>
  </si>
  <si>
    <t>奥法骑士</t>
  </si>
  <si>
    <t>勇士</t>
  </si>
  <si>
    <t>战斗大师</t>
  </si>
  <si>
    <t>骑兵</t>
  </si>
  <si>
    <t>武士</t>
  </si>
  <si>
    <t>紫龙骑士</t>
  </si>
  <si>
    <t>回音骑士</t>
  </si>
  <si>
    <t>符文骑士</t>
  </si>
  <si>
    <t>灵能武士</t>
  </si>
  <si>
    <t>武僧</t>
  </si>
  <si>
    <t>首级</t>
  </si>
  <si>
    <t>诡术师</t>
  </si>
  <si>
    <t>散打宗</t>
  </si>
  <si>
    <t>暗影宗</t>
  </si>
  <si>
    <t>四象宗</t>
  </si>
  <si>
    <t>醉拳宗</t>
  </si>
  <si>
    <t>剑圣宗</t>
  </si>
  <si>
    <t>日魂宗</t>
  </si>
  <si>
    <t>永亡宗</t>
  </si>
  <si>
    <t>命流宗</t>
  </si>
  <si>
    <t>星我宗</t>
  </si>
  <si>
    <t>神龙宗</t>
  </si>
  <si>
    <t>游荡者</t>
  </si>
  <si>
    <t>奉献之誓</t>
  </si>
  <si>
    <t>古贤之誓</t>
  </si>
  <si>
    <t>复仇之誓</t>
  </si>
  <si>
    <t>征服之誓</t>
  </si>
  <si>
    <t>救赎之誓</t>
  </si>
  <si>
    <t>王冠之誓</t>
  </si>
  <si>
    <t>荣耀之誓</t>
  </si>
  <si>
    <t>守望之誓</t>
  </si>
  <si>
    <t>全施法者</t>
  </si>
  <si>
    <t>猎人</t>
  </si>
  <si>
    <t>驯兽师</t>
  </si>
  <si>
    <t>幽域追踪者</t>
  </si>
  <si>
    <t>边界行者</t>
  </si>
  <si>
    <t>怪物杀手</t>
  </si>
  <si>
    <t>集群牧者</t>
  </si>
  <si>
    <t>妖精漫游者</t>
  </si>
  <si>
    <t>龙兽守卫</t>
  </si>
  <si>
    <t>半施法者</t>
  </si>
  <si>
    <t>盗贼</t>
  </si>
  <si>
    <t>刺客</t>
  </si>
  <si>
    <t>调查员</t>
  </si>
  <si>
    <t>策士</t>
  </si>
  <si>
    <t>斥候</t>
  </si>
  <si>
    <t>游荡剑客</t>
  </si>
  <si>
    <t>鬼魅</t>
  </si>
  <si>
    <t>魂刃</t>
  </si>
  <si>
    <t>1d10</t>
  </si>
  <si>
    <t>诡奥</t>
  </si>
  <si>
    <t>龙族血脉</t>
  </si>
  <si>
    <t>狂野魔法</t>
  </si>
  <si>
    <t>神圣之魂</t>
  </si>
  <si>
    <t>幽影魔法</t>
  </si>
  <si>
    <t>风暴术法</t>
  </si>
  <si>
    <t>畸变心智</t>
  </si>
  <si>
    <t>时械之魂</t>
  </si>
  <si>
    <t>月之术法</t>
  </si>
  <si>
    <t>至高妖精</t>
  </si>
  <si>
    <t>邪魔宗主</t>
  </si>
  <si>
    <t>旧日支配者</t>
  </si>
  <si>
    <t>天界宗主</t>
  </si>
  <si>
    <t>咒剑士</t>
  </si>
  <si>
    <t>不朽者</t>
  </si>
  <si>
    <t>巨灵宗主</t>
  </si>
  <si>
    <t>深海意志</t>
  </si>
  <si>
    <t>死灵宗主</t>
  </si>
  <si>
    <t>防护学派</t>
  </si>
  <si>
    <t>咒法学派</t>
  </si>
  <si>
    <t>预言学派</t>
  </si>
  <si>
    <t>附魔学派</t>
  </si>
  <si>
    <t>塑能学派</t>
  </si>
  <si>
    <t>幻术学派</t>
  </si>
  <si>
    <t>死灵学派</t>
  </si>
  <si>
    <t>变化学派</t>
  </si>
  <si>
    <t>战争魔法</t>
  </si>
  <si>
    <t>剑咏者</t>
  </si>
  <si>
    <t>时间魔法</t>
  </si>
  <si>
    <t>重力魔法</t>
  </si>
  <si>
    <t>书士会</t>
  </si>
  <si>
    <t>1d12</t>
  </si>
  <si>
    <t>施法者等级</t>
  </si>
  <si>
    <t>炼金师</t>
  </si>
  <si>
    <t>魔炮师</t>
  </si>
  <si>
    <t>战地匠师</t>
  </si>
  <si>
    <t>装甲师</t>
  </si>
  <si>
    <t>列1</t>
  </si>
  <si>
    <t>列2</t>
  </si>
  <si>
    <t>最小数据行</t>
  </si>
  <si>
    <t>最大数据行</t>
  </si>
  <si>
    <t>0v0?</t>
  </si>
  <si>
    <t>名称列</t>
  </si>
  <si>
    <t>描述列</t>
  </si>
  <si>
    <t>增值</t>
  </si>
  <si>
    <t>？？？</t>
  </si>
  <si>
    <t>轻甲、中甲、盾牌</t>
  </si>
  <si>
    <t>轻甲</t>
  </si>
  <si>
    <t>轻甲、中甲、盾牌（德鲁伊不能装备或使用金属质的护甲和盾）</t>
  </si>
  <si>
    <t>无</t>
  </si>
  <si>
    <t>所有护甲和盾牌</t>
  </si>
  <si>
    <t>简易武器、手弩、长剑、刺剑、短剑</t>
  </si>
  <si>
    <t>简易武器</t>
  </si>
  <si>
    <t>短棒、匕首、飞镖、标枪、硬头锤、长棍、弯刀、镰刀、投石索、矛</t>
  </si>
  <si>
    <t>简易武器、短剑</t>
  </si>
  <si>
    <t>简易武器和军用武器</t>
  </si>
  <si>
    <t>匕首、飞镖、投石索、长棍、轻弩</t>
  </si>
  <si>
    <t>工具熟练</t>
  </si>
  <si>
    <t>自选三种乐器</t>
  </si>
  <si>
    <t>选择一种工匠工具或一种乐器</t>
  </si>
  <si>
    <t>盗贼工具、修补工具、其他一种你选择的工匠工具</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</si>
  <si>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</si>
  <si>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</si>
  <si>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施法</t>
  </si>
  <si>
    <t>你习得以音乐为媒介随意解构、分解，再重新构造现实的方法。
你的法术是融入你纷繁奏乐中的音符，也是你以各种形式谱奏的魔法乐章。</t>
  </si>
  <si>
    <t>你作为神圣力量的导体得以施展牧师法术。</t>
  </si>
  <si>
    <t>德鲁伊语</t>
  </si>
  <si>
    <t>你习得德鲁伊语——即一种德鲁伊间的秘密语言。
你可以说这门语言并用它留下隐藏的信息。
懂得这门语言的人（包括你自己）会自动注意到此信息，而不懂此语言的人通过一次DC15的感知（察觉）检定后可以注意到其存在，不过不能用非魔法手段读懂。</t>
  </si>
  <si>
    <t>战斗风格</t>
  </si>
  <si>
    <t>你专精于一种战斗风格，并从下列选项中选择。
另外，即使你有多次选择战斗风格的机会，也不能多次选择同一个战斗风格。
箭术：你使用远程武器进行攻击检定时具有+2加值。
防御：着装护甲时，你的AC获得+1加值。
对决：单手持用一把近战武器，且并未同时持用其他武器时，你用该武器攻击的伤害掷骰获得+2加值。
巨武器战斗：双手持用一把近战武器发动攻击时，如果你的伤害掷骰掷出1或2，则可以选择重掷。不过哪怕其仍是1或2，你都必须接受重掷的数值。此外，该武器必须具有双手或两用属性。
守护：当某个你能看见的生物攻击你身边5尺内除你之外的目标时，你可以用反应迫使该攻击的攻击检定具有劣势。此时你必须持用盾牌。
双武器战斗：使用两把武器战斗时，你可以将相应属性调整值加到第二次攻击的伤害上。</t>
  </si>
  <si>
    <t>无甲防御</t>
  </si>
  <si>
    <t>第1级起，未着装任何护甲也没持用盾牌时，你的AC值等于10＋你的敏捷调整值＋你的感知调整值。</t>
  </si>
  <si>
    <t>神圣感知</t>
  </si>
  <si>
    <t>强大的邪恶存在于你有如带毒的香气，而强大的善良光环于你则如仙乐般悠扬。
你可以使用一个动作扩展你的意识，以侦测此类势力。
直到你下回合结束前，你可以对身边60尺范围内进行感测，任何未对你处在全身掩护状态的天界生物、邪魔或不死生物都将被你定位。
你感应到范围内生物的种类（天界生物、邪魔、不死生物），不过并不能精确指明。
在同样的范围内，你也可以侦测任何受到圣居一类的法术祝福或亵渎的地点或物件。
该特性的可用次数等于1＋你的魅力调整值。
而已消耗的特性使用次数，则可以通过完成一次长休进行恢复。</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</si>
  <si>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</si>
  <si>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
或者作为另一种方案，你也可以选择两个类人生物种族（例如豺狼人和兽人）作为宿敌。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
另外，随着等级的提升，你所选择的宿敌应该与你在冒险中所遭遇怪物的种类层次相符。</t>
  </si>
  <si>
    <t>专精</t>
  </si>
  <si>
    <t>第1级起，你选择两个已有技能熟练项，或者一个技能熟练项和盗贼工具熟练项。
此后你进行该项目的检定时，可以使用双倍的熟练加值。
第6级时，你可以再选择另外两个已有的技能熟练项（或盗贼工具熟练项）从该特性中获益。</t>
  </si>
  <si>
    <t>过去的一个事件激发了你体内先辈的血脉，为你烙上了奥法力量的坚固印记。
这股起源于某种存在的魔力驱动着你的法术能力。</t>
  </si>
  <si>
    <t>契约魔法</t>
  </si>
  <si>
    <t>你的法术力量源于你的奥秘研究和宗主的魔法馈赠。</t>
  </si>
  <si>
    <t>作为一名奥术魔法的研习者，你拥有一本自己的法术书。
书中所包含的法术隐约透露着你真正的力量。</t>
  </si>
  <si>
    <t>魔法工艺</t>
  </si>
  <si>
    <t>在第1级，你将学习如何在平凡的物品中注入魔法的火花。
要使用这个能力，你必须手持盗贼工具，或工匠工具。
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
你能够使用该特性影响的物品的最大数量等于你的智力调整值（最少一个物品）。
如果你试图超过最大值，最老的魔法属性将立即结束，然后新的魔法属性生效。</t>
  </si>
  <si>
    <t>未着装任何护甲时，你的AC等于10＋你的敏捷调整值＋你的体质调整值。使用盾牌不会影响你从此特性获益。</t>
  </si>
  <si>
    <t>第1级时，你从诗人法术列表中选择两个戏法作为已知法术。
在获得更高诗人等级后你还可以习得其它的戏法，具体数量见“吟游诗人职业表”中“已知戏法”一栏。</t>
  </si>
  <si>
    <t>第1级时，你选择三个牧师法术列表中的戏法作为已知法术。
在获得更高的牧师等级后你还可以习得其它的戏法，具体数据参见“牧师职业表”中“已知戏法”一栏。</t>
  </si>
  <si>
    <t>你掌握自然世界的神圣本质，并依你的意志施展法术对其进行重塑。</t>
  </si>
  <si>
    <t>战斗风格选项</t>
  </si>
  <si>
    <t>从1级起，当你在选择战斗风格时，下列选项加入你的可选战斗风格中。
盲斗：你获得10尺盲视，在10尺范围内，你可以看见除了处于全遮掩后的任何东西，哪怕你正在被目盲或是在黑暗之中，另外，你可以看见该范围内的未对你成功躲藏的隐形生物。
卓越技巧：你从战斗大师武术范型的战技列表中习得一项战技，如果该战技需要豁免，则豁免DC为8+你的熟练加值+你的力量或敏捷调整值（由你选择）。
你获得一个d6的卓越骰（此卓越骰与任何你能够其他方式获得的卓越骰累计），此卓越骰可用于启动你的战技，卓越骰一经使用即消耗，并在完成一次短休或长休后恢复。
投掷武器战斗：你可以在使用一件带有投掷属性武器进行进攻时，将那件武器作为攻击的一部分而拔出，另外，在你以一件投掷武器于远程攻击中命中对手时，你的伤害掷骰+2。
徒手战斗：你的徒手打击可以造成1d6+你力量调整值的钝击伤害，如果你没有手持任何武器或盾牌进行攻击，伤害骰从d6变成d8， 每个你的回合开始时，你可以对被你擒抱的生物造成1d4钝击伤害。</t>
  </si>
  <si>
    <t>武艺</t>
  </si>
  <si>
    <t>第1级时，你修行的武艺让你使用徒手打击和武僧武器时得心应手。
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你使用徒手打击或武僧武器进行攻击时，可以选择用d4骰代替原本的伤害掷骰。该骰子将随武僧职业等级的提升而增大，具体数据见“武僧职业表”中“武艺”一栏。
你使用徒手打击或武僧武器执行攻击动作时，可以在自己回合内以附赠动作发动一次徒手打击。
例如，你执行攻击动作并使用长棍发动攻击时，若你本轮没有执行任何附赠动作，则可以用附赠动作来发动一次徒手打击。
某些宗派的武僧会使用一些奇异的武僧武器，比如铁链连接的两根短棒（双截棍），或者带直刃的镰刀（单镰）。
无论你使用什么武器，其属性数据都参考与其相似的常规武器属性数据。
具体的武器数据见第5章。</t>
  </si>
  <si>
    <t>圣疗</t>
  </si>
  <si>
    <t>你的触碰溢满祝福，可以医治伤口。
你获得一个治疗能量池，其内的治疗能量在每次完成长休后自动补满。
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
你可以在一次圣疗中治愈复数的疾病并祛除复数的毒素，但你需要为每一种疾病和毒素分别支付治疗量。
该职业特性对不死生物和构装生物无效。</t>
  </si>
  <si>
    <t>夙敌</t>
  </si>
  <si>
    <t>从1级起（替换宿敌并能够对屠灭众敌起效），当你以一次攻击掷骰命中一个生物时，你可以呼唤你与自然的神秘羁连以将目标标记为你的夙敌，持续一分钟或直到你失去专注(如同你在专注一道法术)。
你在你的回合内第一次命中你的夙敌并对其造成伤害，且你正在标记它时，你可以造成额外的1d4点伤害。
你可以使用同等于你的熟练加值次该特性来标记你的夙敌，你在完成一次长休后恢复所有已使用的次数。
这个特性的额外伤害在你达到特定等级时会增加：6级时1d6，14级时1d8。</t>
  </si>
  <si>
    <t>偷袭</t>
  </si>
  <si>
    <t>第1级起，你就知道如何精确地攻击分心的敌人。
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</si>
  <si>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第1级时，你从术士法术列表里选择四个戏法作为已知法术。
在获得更高的术士等级后你还可以习得其它的戏法，具体数量见“术士职业表”中“已知戏法”一栏。</t>
  </si>
  <si>
    <t>你从邪术师法术列表中选择两个戏法作为已知法术。
在获得更高的邪术师等级后你还可以习得其它的戏法，具体数据见“邪术师职业表”中“已知戏法”一栏。</t>
  </si>
  <si>
    <t>第1级时，你从法师法术列表中选择三个戏法作为已知法术。
在获得更高的法师等级后你还可以习得其它的戏法，具体数量参见“法师职业表”中“已知戏法”一栏。</t>
  </si>
  <si>
    <t>技艺的魔法</t>
  </si>
  <si>
    <t>身为一名奇械师，你在施法时使用工具，当描述你的施法时，请想想你是如何使用一个工具来执行这个法术效果的。
如果你使用炼金工具来施展疗伤术，你可以很快的制造出药膏。
如果你用修补工具来施展，你可能会拿出一个微型机械蜘蛛来缝合伤口。
当你施放毒液喷溅时，你可以喷射出有毒的化学物质，或者使用一根喷射毒液的魔杖。
法术的效果和其他的施法者职业是一样，但是你的施法方法是特殊的。
同样的原则也适用于你准备法术的时候，作为一名奇械师，你不需要学习魔法书，也不需要祈祷去准备你的魔法。
你需要使用工具来制造用于产生效果的特定物品，如果你用电爪替换疗伤术，你可能会破坏你用来治疗的设备，并用它的部件制造一个攻击性的物品——这可能是一只能够让你引导冲击性能量的长手套。
这些细节不会以任何方式限制你，也不会给你带来任何好处，你不需要证明你是如何使用工具来施展法术的，但是创造性地描述你的施法是一种能够让你从其他施法者中脱颖而出的有趣方法。</t>
  </si>
  <si>
    <t>鲁莽攻击</t>
  </si>
  <si>
    <t>第2级起，你可以抛弃一切防御的执念进行狂乱的攻击。你在自己回合内发动第一次攻击时，可以选择发动鲁莽攻击。
使用此特性后，你本回合内所有使用力量值发动的近战武器攻击具有优势。此后，所有对你发动的攻击检定也将具有优势，且该优势持续存在至你的下个回合。</t>
  </si>
  <si>
    <t>“吟游诗人职业表”中记录了你可用以施展诗人法术的1环及更高环阶法术位数量。
施展诗人法术时，你必须同时消耗其对应环阶的法术位。
已消耗的法术位可在完成长休后恢复。</t>
  </si>
  <si>
    <t>法术的准备与施展</t>
  </si>
  <si>
    <t>“牧师职业表”里记录了你用以施展牧师法术的1环及更高环阶法术位数量。
施展某个牧师法术时，你必须同时消耗其对应环阶的法术位。
已消耗的法术位可在完成长休后恢复。
你可以准备牧师法术列表中所有符合当前施展条件的法术。
准备法术时，你所准备法术的总数等于你的感知调整值＋你的牧师职业等级（最少可以准备一个）。
另外，你只能准备已经获得相应环阶法术位的法术。
例如，作为一名3级牧师时，你拥有四枚1环法术位和两枚2环法术位。假如你的感知为16，则你的准备法术列表可以囊括总共六个1环或2环法术的组合。如果你准备了1环法术疗伤术cure wounds，则你可以使用1环或者2环的法术位来施展它。另外，已施展的法术并不会从你的准备列表中移除。
你可以在完成长休后改变你的准备法术列表。
准备新的牧师法术列表时，你要再花时间进行祈祷和冥想。
准备时，你要为你列表上每个法术的每个环阶都花费至少1分钟时间。</t>
  </si>
  <si>
    <t>第1级时，你选择两项德鲁伊法术列表中的戏法作为已知法术。
在获得更高的德鲁伊等级后你还可以习得其它的戏法，具体数据参见“德鲁伊职业表”中“已知戏法”一栏。</t>
  </si>
  <si>
    <t>气</t>
  </si>
  <si>
    <t>第2级起，你掌握一股名为气的神秘能量。
此后你将拥有一定数量的气作为储备。
而气的储备量由你的武僧等级决定，具体数值见“武僧职业表”中“气”一栏。
你可以消耗气以行使各种特性。
一开始你掌握三种特性：疾风连击，坚强防御，飞檐走壁。
此后，随着等级的提升你将习得更多的特性。
消耗掉的气必须在你短休或长休时完成至少30分钟的冥想，才能重获所有消耗掉的气值。
某些特性需要目标进行豁免检定来抵抗你特性造成的效应。
其豁免DC如下：
气豁免DC＝8＋你的熟练加值＋你的感知调整值</t>
  </si>
  <si>
    <t>第2级起，你将精进于一种战斗风格，从下列选项中选择其一。
另外，即使你有多次选择战斗风格的机会，也不能重复选择同一个战斗风格。
防御：着装护甲时，你的AC获得+1加值。
对决：单手持用一把近战武器，且并未同时持用其他武器时，你使用该武器进行攻击的伤害掷骰获得+2加值。
巨武器战斗：双手持用一把近战武器发动攻击时，若你的伤害掷骰掷出1或2，则可以选择重掷。
不过哪怕其仍是1或2，你都必须接受重掷的数值。
此外，该武器必须具有双手或两用属性。
守护：当某个你能看见的生物攻击你身边5尺内除你之外的目标时，你可以用反应迫使该攻击的攻击检定具有劣势。
你必须持用盾牌以实现该效果。</t>
  </si>
  <si>
    <t>自然探索者</t>
  </si>
  <si>
    <t>你对某种自然环境特别熟悉，并适应了在其中行走及生存。
从下列类别中选择一种偏爱地形：极地、海岸、荒漠、丛林、草原、山地、沼泽或幽暗地。
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旅行时，即使你进行另一项活动（如觅食、导航或追踪），仍能对危险保持警觉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</si>
  <si>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盗贼黑话</t>
  </si>
  <si>
    <t>作为一名游荡者，你在平时的练习中学会了盗贼间的黑话。
盗贼黑话是一门混合了土话、术语和密语的秘密语言，掌握这门语言后，你可以在平时对话中不落痕迹的加入隐藏信息。
而只有另一个懂盗贼黑话的生物才能看懂这些隐藏信息。
不过这种交流方式需要花费四倍于直接交流所需要的时间。
另外，你还习得一套用以传达简单短小信息的秘密符文和标识。
它能发布的内容诸如某地区是否危险，是否受盗贼公会管辖，附近是否有战利品，附近的人是否好主顾或者路上是否有安全的房屋以供庇护。</t>
  </si>
  <si>
    <t>“术士职业表”中记录了你用以施展你术士法术的1环及更高环阶法术位数量。
施展某个术士法术时，你必须同时消耗其对应环阶的法术位。
已消耗的法术位可在完成长休后恢复。
例如，若你已知1环法术燃烧之手burning hands，并且拥有一枚可用的1环法术位和一枚可用的2环法术位，则这两枚法术位都可以用来施展该法术。</t>
  </si>
  <si>
    <t>“邪术师职业表”里记录了你可用以施展邪术师法术的1环至5环法术位数量。
表格中还记录了法术位对应的法术环阶，且你所有的法术位都属于同一环阶。
施展1环或更高环阶的邪术师法术时，都需要消耗一枚法术位。
已消耗的法术位可在完成长休或短休后恢复。
例如，达到第5级时，你总共具有两枚3环法术位。
你施展1环法术巫术箭时，必须消耗消耗这些法术位其中之一，并把它作为一个3环法术施放。</t>
  </si>
  <si>
    <t>你的法术书</t>
  </si>
  <si>
    <t>你在等级提升时加入法术书中的法师法术，体现了你的奥术研究成果，同时也代表你对多元宇宙本质的认知的新突破。
你也许会在冒险过程中发现其他的法术。
例如，你可能在一个邪恶法师的箱子里发现了一张记载有法术的卷轴，或者在一个上古图书馆中发现了灰尘覆盖的卷册。
将法术抄入法术书：当你发现一道1环或更高环阶的法师法术时，你可以将其抄入你的法术书中，前提是，你必须能够准备该法术，且也有时间去解读和复制它。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
你必须反复练习这个法术，直至完全理解其所需的咒语和手势，最后用再用你自己的符号系统将之抄入法术书。
这个过程将消耗每法术环阶2小时的时间和每法术环阶50gp的资金。
这笔开销代表你在练习这个法术的过程中消耗的材料成分，还有抄录法术所需的上好的墨水。
当你花费了这一笔时间和金钱后，你就可以如同准备其他法术一般准备这个法术了。
替换法术书：你可以把法术从你的法术书抄到另一本书上——例如，你打算为你的法术书做一个备份时，就可以这么做。
这个进程和将新法术抄入法术书相似，但更快也更简单，因为你早已理解了你自己的符号系统，也知道如何施展这个法术。
这时，你只需要花费每环阶1小时和每环阶10gp的花费。
如果你弄丢了法术书，你也可以用相同的流程将你准备的法术抄入一本新法术书中。
而要填满法术书的其余部分就需要你自己去寻找新的法术了。
所以，很多法师都喜欢在安全的地方保存好备份的法术书。
法术书外观：你的法术书是一本独特的法术合集，其上有着独特的使用痕迹和空白页。
它可以是导师赠予的简洁实用的皮册；或是在远古图书馆中发现的华丽镶边书册；甚至可以是在你遭遇意外后，松散的订在一起的一堆手稿。</t>
  </si>
  <si>
    <t>你已经学习了魔法的工作原理，知道如何引导魔法进入物体，以及如何唤醒魔法。
因此，你获得了有限的施法能力，在旁观者看来，你不会用传统的方式施法——你看起来好像在通过各种物品创造奇迹。</t>
  </si>
  <si>
    <t>险境感知</t>
  </si>
  <si>
    <t>第2级时，你获得对周遭异常情况超乎寻常的感测力，让你能先一步脱离危险。
在受到你能看见的效应（诸如陷阱和法术）影响时，你对其进行的敏捷豁免具有优势。你无法在目盲、耳聋或是失能的状态下从此特性获益。</t>
  </si>
  <si>
    <t>已知法术</t>
  </si>
  <si>
    <t>第1级时，你从诗人法术列表中选择四个1环法术作为已知法术。
“吟游诗人职业表”中“已知法术”一栏记录了你获得更多已知法术时的相应等级。
但是，你只能获取已有相应环阶法术位的法术。
比如当达到第3级时，你将获得一个1环或2环法术。
另外，你每提升一个诗人等级，可以从诗人法术列表中选择一个新法术来代替一个已知法术列表中的旧法术，不过你必须已有新法术的相应环阶法术位。</t>
  </si>
  <si>
    <t>施法关键属性</t>
  </si>
  <si>
    <t>你的法术力量来源于你对神祇的信仰，因此感知是你施展牧师法术的关键属性。
每当你的牧师法术需要施法关键属性时均指向你的感知值。
而你牧师法术的豁免DC和攻击检定，则使用你的感知调整值。
法术豁免DC＝8＋你的熟练加值＋你的感知调整值
法术攻击调整值＝你的熟练加值＋你的感知调整值</t>
  </si>
  <si>
    <t>法术的准备和施展</t>
  </si>
  <si>
    <t>“德鲁伊职业表”里记录了你用以施展德鲁伊法术的1环及更高环阶法术位数量。
施展某德鲁伊法术时，你必须同时消耗其对应环阶法术位。
已消耗的法术位可在完成长休后恢复。
你可以准备德鲁伊法术列表中所有符合当前施展条件的法术。
准备法术时，你所准备法术的总数等于你的感知调整值＋你的德鲁伊职业等级（最少可以准备一个）。
另外，你只能准备已经获得相应环阶法术位的法术。</t>
  </si>
  <si>
    <t>疾风连击</t>
  </si>
  <si>
    <t>你在自己回合内执行攻击动作后，可立即消耗1点气并以一个附赠动作发动两次徒手打击。</t>
  </si>
  <si>
    <t>从2级起，当你选择战斗风格时，以下战斗风格加入可选战斗风格列表。
受祝福的勇士：你从牧师法术列表中选择两种戏法习得，这些戏法对你来说是圣武士法术，这些戏法的施法关键属性是魅力，当你提升此职业的等级时，你能够将一个已知戏法替换为牧师法术列表中的另一个戏法。
盲斗：你获得10尺盲视，在此范围内，你视为能看见任何未被完全遮蔽的事物，即便你目盲或在黑暗光照下，此外，你也可以看见范围内的隐形生物，除非其针对你进行隐匿并成功。
拦截：当一个你可见的生物攻击并击中了你5尺内一个你以外的生物时，你可以用反应减少该目标受到的伤害，减少数值为1d10+你的熟练加值（至少为0），你必须正在持用一面盾牌或一把简单武器或军用武器才能使用此能力。</t>
  </si>
  <si>
    <t>熟练探险家</t>
  </si>
  <si>
    <t>从1级起（替代自然探索者），你是一个无与伦比的探险家和求生专家。
你在1级时获得对应的特性，然后在第6级和第10级时再各获得对应的特性。
精明（1级）：你选择一项你拥有熟练的技能，你在使用该技能时的任何属性检定的使用两倍的熟练加值，此外，你可以额外说，读，写两门你选择的语言。
越野（6级）：你的步行速度增加5，同时你获得等于你步行速度的攀爬速度和游泳速度。
不知疲倦（10级）：以一个动作，你能够给予自己1d8+你的感知调整值的临时生命值，你能够使用此特性的次数等于你的熟练加值次（最少1次），已消费的次数可以通过完成一次长休进行恢复，此外，当你完成一次短休时，你的力竭等级减少1（若有）。</t>
  </si>
  <si>
    <t>灵巧动作</t>
  </si>
  <si>
    <t>第2级起，你精妙的反应与身手使你的行动无比迅速。
你在战斗中每回合可执行一次附赠动作，该附赠动作可用以执行撤离、疾走或躲藏三种动作项其中之一。</t>
  </si>
  <si>
    <t>第1级时，你从术士法术列表里选择两个1环法术作为已知法术。
“术士职业表”中“已知法术”一栏记录了你获得更多已知法术时的相应等级。
但是你只能获取已有相应环阶法术位的法术。
比如，当你达到第3级时，你将获得一个1环或2环法术。
另外，你每提升一个术士等级，都可以从术士法术列表里选择一个新法术来代替一个已知法术列表中的旧法术。
但是，你必须拥有新法术的相应环阶法术位。</t>
  </si>
  <si>
    <t>第1级时，你从邪术师法术列表里选择两个1环法术作为已知法术。
“邪术师职业表”中“已知法术”一栏记录了你获得更多法术时的相应等级。
每个被选的法术都必须在当前等级拥有可用以施展该法术的法术位，具体见表。
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t>
  </si>
  <si>
    <t>第1级时，你让一本法术书纪录上六个你自选的1环法师法术。
你的法术书储存着你除戏法外的所有已知法术，而你的戏法则直接铭记在你脑海中。</t>
  </si>
  <si>
    <t>必备工具</t>
  </si>
  <si>
    <t>你通过你的工具产生你的奇械师法术效果，当你使用施法特性来施展法术时，必须手持一个法器——通常是盗贼工具或工匠工具。
你必须熟练这一工具才能将它作为法器使用，这些工具的描述请参见《玩家手册》第五章“装备”。
当你在第二级获得物品注法特性后，你也能使用任何你注入魔法的物品来作为法器使用，这意味着你施展的法术拥有“M（材料）”成分。</t>
  </si>
  <si>
    <t>原初道途</t>
  </si>
  <si>
    <t>第3级时，你选择一种道途来塑造你狂怒时的特质。
你可以从狂战士和图腾武者中选择其一。
随后，你将在第3、第6、第10、第14级时获得所选道途的相应特性。</t>
  </si>
  <si>
    <t>你的魔力源于你注入音乐或演说中的心灵力量，因此魅力是你施展吟游诗人法术的关键属性。
每当你的诗人法术需要施法关键属性时均指向你的魅力值。
而你诗人法术的豁免DC和攻击检定，则使用你的魅力调整值。
法术豁免DC＝8＋你的熟练加值＋你的魅力调整值
法术攻击调整值＝你的熟练加值＋你的魅力调整值</t>
  </si>
  <si>
    <t>仪式施法</t>
  </si>
  <si>
    <t>如果你所准备牧师法术中的某法术有带仪式标签，则你可以用这些法术进行仪式施法。</t>
  </si>
  <si>
    <t>圣树与圣木</t>
  </si>
  <si>
    <t>德鲁伊视特定种类的植物为圣物，典型的种类有：桤树、白蜡树、桦树、接骨木、榛树、冬青树、杜松、槲寄生、橡树、花楸树、柳树还有紫杉。
德鲁伊通常使用这些植物的一部分作为施法的法器，其中包括橡树或紫杉的长枝，或是槲寄生的枝条。
同样道理下，德鲁伊们也会使用这些木材制作其他物件，如武器和盾牌。
紫杉树代表了死亡与重生，因此常被用作弯刀和镰刀的手柄。
代表生命的白蜡树和代表力量的橡树，则非常适合制作手柄或整把武器（如短棒、长棍或盾牌）。
而代表大气的桤树则被用于制作投掷武器（如飞镖或标枪）。
某些地域的德鲁伊由于附近缺乏相应的植物，则会选择一些类似的品种作为代用。
比如荒漠地区的德鲁伊可能使用丝兰树甚至仙人掌作为代用。
例如，作为一名3级德鲁伊时，你拥有四枚1环法术位和两枚2环法术位。
假如你的感知为16，则你的准备法术列表可以囊括总共六个1环或2环法术的组合。
如果你准备了1环法术疗伤术，则你可以使用1环或者2环的法术位来施展它。
另外，已施展的法术并不会从你的准备列表中移除。
你可以在完成长休后改变你的准备法术列表。
准备新的德鲁伊法术列表时，你要再花时间进行祈祷和冥想。
准备时，你要为你列表上每个法术的每个环阶都花费至少1分钟时间。</t>
  </si>
  <si>
    <t>武术范型</t>
  </si>
  <si>
    <t>第3级时，你选择一种范型以体现你的战斗风格和技巧。
你可以从诸如勇士、战斗大师、奥法骑士等范型中选择其一。
随后，你将在第3、第7、第10、第15、第18级获得所选范型的相应特性。</t>
  </si>
  <si>
    <t>坚强防御</t>
  </si>
  <si>
    <t>你在自己回合内，可以消耗1点气，并以一个附赠动作的形式来执行回避动作。</t>
  </si>
  <si>
    <t>第2级起，你学会通过冥想与祈祷引导神圣魔法，其原理与牧师相仿。</t>
  </si>
  <si>
    <t>第2级起，你将精进于一种战斗风格，从下列选项中选择其一。
另外，即使你有多次选择战斗风格的机会，也不能重复选择同一个战斗风格。
箭术：使用远程武器进行攻击检定时具有+2加值。
防御：着装护甲时，你的AC获得+1加值。
对决：单手持用一把近战武器，且并未同时持用其他武器时，你用该武器攻击的伤害掷骰获得+2加值。
双武器战斗：使用两把武器战斗时，你可以将相应属性调整值加到第二次攻击的伤害上。</t>
  </si>
  <si>
    <t>游荡者范型</t>
  </si>
  <si>
    <t>第3级时，你选择学习一种特定的战斗范型。
你可以从盗贼、刺客或者诡术师中选择其一。
随后，你将在第3，第9，第13、第17级时获得所选范型的相应特性。</t>
  </si>
  <si>
    <t>你的魔力来源于你意志的现实投影，因此魅力是你施展术士法术的关键属性。
每当你的法术需要施法关键属性时均指向你的魅力值。
而你术士法术的豁免DC和攻击检定，则使用你的魅力调整值。
法术豁免DC＝8＋你的熟练加值＋你的魅力调整值
法术攻击调整值＝你的熟练加值＋你的魅力调整值</t>
  </si>
  <si>
    <t>魅力是你施展邪术师法术的关键属性。
每当你的法术需要施法关键属性时均指向你的魅力值。
而你邪术师法术的豁免DC和攻击检定，则使用你的魅力调整值。
法术豁免DC＝8＋你的熟练加值＋你的魅力调整值
法术攻击调整值＝你的熟练加值＋你的魅力调整值</t>
  </si>
  <si>
    <t>“法师职业表”里记录了你用以施展你法师法术的1环及更高环阶法术位数量。
施展某个法师法术时，你必须同时消耗其对应环阶的法术位。
已消耗的法术位可在完成长休后恢复。
你可以准备一系列符合当前施法条件的法师法术。
准备法术时，你从法术书中选择的准备法术总数等于你的智力调整值＋你的法师职业等级（最少为1）。
另外，你只能准备已经获得相应环阶法术位的法术。
例如，作为一名3级法师时，你拥有四枚1环法术位和两枚2环法术位。
假如你的智力为16，则你的准备法术列表可以囊括总共六个1环或2环法术的组合。
如果你准备了1环法术魔法飞弹，则你可以使用1环或者2环的法术位来施展它。
另外，已施展的法术并不会从你的准备列表中移除。
你可以在完成长休后改变你的准备法术列表。
准备新的法师法术列表时，你要再花时间研读你的法术书，并重新记忆所准备法术的咒语和施展动作。
准备时，你要为你列表上每个法术的每个环阶都花费至少1分钟时间。</t>
  </si>
  <si>
    <t>在第1级，你从奇械师法术列表中习得两个戏法。
在更高的等级，你能够根据“奇械师职业表”习得更多戏法。
当你提升一个奇械师等级时，你能够从奇械师法术列表中习得一个新的戏法来替换一个原有的已知戏法。</t>
  </si>
  <si>
    <t>原初学识</t>
  </si>
  <si>
    <t>从3级起，当你的野蛮人职业等级达到3级和10级时，你可以从野蛮人1级所提供的技能熟练项列表中选择一个技能，获得该技能的熟练。</t>
  </si>
  <si>
    <t>如果你已知法术列表中的某法术带有仪式标签，则你可以用这些法术进行仪式施法。</t>
  </si>
  <si>
    <t>法器</t>
  </si>
  <si>
    <t>你可以使用圣徽作为施展牧师法术的法器。</t>
  </si>
  <si>
    <t>你的法术力量源于你对自然的信仰与同调，因此感知是你施展德鲁伊法术的关键属性。
每当你的德鲁伊法术需要施法关键属性时均指向你的感知值。
而你德鲁伊法术的豁免DC和攻击检定，则使用你的感知调整值。
法术豁免DC＝8＋你的熟练加值＋你的感知调整值
法术攻击调整值＝你的熟练加值＋你的感知调整值</t>
  </si>
  <si>
    <t>替换武术</t>
  </si>
  <si>
    <t>从4级起，当你的战士职业等级抵达能让你获得属性值提示职业特性时，你能进行以下一项改变。
这种变化代表着你改变了武术训练和练习的重点
用一个战士可用的战斗风格替换原有的一个战斗风格。
如果你通过战技大师范型掌握了战技，你可以将你的一个已知战技替换为一个不同的战技。</t>
  </si>
  <si>
    <t>飞檐走壁</t>
  </si>
  <si>
    <t>你在自己回合内，可以消耗1点气，并以一个附赠动作的形式来执行撤离动作或疾走动作，同时使你该回合内的跳跃距离翻倍。</t>
  </si>
  <si>
    <t>“圣武士职业表”里记录了你用以施展圣武士法术的1环及更高环阶法术位数量。
施展某个圣武士法术时，你必须同时消耗其对应环阶的法术位。
而已消耗的法术位则可以通过完成一次长休进行恢复。
你可以准备圣武士法术列表中所有符合当前施展条件的法术。
准备法术时，你所准备法术的总数等于你的魅力调整值＋你圣武士职业等级的一半（最少可准备一个）。
另外，你只能准备已获得相应环阶法术位的法术。
例如，作为一名5级圣武士时，你拥有四枚1环法术位和两枚2环法术位。
假如你的魅力为14，则你的准备法术列表可以囊括四个1环或者2环法术的组合。
如果你已经准备了1环法术疗伤术，则你可以使用1环或2环的法术位来施展它。另外，已施展的法术并不会从你的准备列表中移除。
你可以在完成长休后改变你的准备法术列表。
准备新的圣武士法术列表时，你要再花时间进行祈祷和冥想。
准备时，你要为你列表上每个法术的每个环阶都花费至少1分钟时间。</t>
  </si>
  <si>
    <t>从2级起，当你在选择战斗风格时，下列选项加入你的可选战斗风格中。
盲斗：你获得10尺盲视，在10尺范围内，你可以看见除了处于全遮掩后的任何东西，哪怕你正在被目盲或是在黑暗之中，另外，你可以看见该范围内的隐形生物，除非该生物成功地对你躲藏。
德鲁伊教战士：你学会两个来自德鲁伊法术列表的你自选的戏法，它们对你视作游侠法术，感知是你施展他们的施法关键属性。
当你升级时，你可以将其中一个戏法替换为德鲁伊法术列表中的另一个戏法。
投掷武器战斗：你可以在使用一件带有投掷属性武器进行进攻时，将那件武器作为攻击的一部分而拔出。
另外，在你以一件投掷武器于远程攻击中命中对手时，你的伤害掷骰+2。</t>
  </si>
  <si>
    <t>手稳就准</t>
  </si>
  <si>
    <t>从3级起，作为一个附赠动作，你在当前回合为你的下一次攻击提供优势。
你只能在你本回合还没有移动的时候使用这个附赠动作，而且在你使用这个附赠动作后，你的速度在当前回合里归0。</t>
  </si>
  <si>
    <t>你可以使用奥术法器，作为你施展术士法术时的法器。</t>
  </si>
  <si>
    <t>你可以使用奥术法器作为你施展邪术师法术的法器。</t>
  </si>
  <si>
    <t>你的法术来自你专注的研习和记忆，因此智力是你施展法师法术的关键属性。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</si>
  <si>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“奇械师职业表”显示出你有多少能用于施法的法术位。
施展某个奇械师法术时，你必须同时消耗其对应环阶的法术位。
而已消耗的法术位则可以通过完成一次长休进行恢复。
你需要从奇械师法术列表中选择想要准备的法术，你能选择的准备法术总数等于你的智力调整值＋你奇械师职业等级的一半（向下取整）（最少为1）。
你只能准备已经获得相应环阶法术位的法术。
例如，作为一名5级奇械师时，你拥有四枚1环法术位和两枚2环法术位。
假如你的智力为14，则你的准备法术列表可以囊括总共四个1环或2环法术的组合。
如果你准备了1环法术疗伤术，则你可以使用1环或者2环的法术位来施展它。
另外，已施展的法术并不会从你的准备列表中移除。
你可以在完成长休后改变你的准备法术列表，如需准备新的奇械师法术，你需要花时间来调整你的法器：每个法术要花费至少1分钟的时间。</t>
  </si>
  <si>
    <t>属性值提升</t>
  </si>
  <si>
    <t>当达到第4、8、12、16、19级时，你可以选择一项属性值提升2点，或是选择两项属性各提升1点。
不过你不能通过此特性让属性值超过20。</t>
  </si>
  <si>
    <t>你可以使用乐器作为施展诗人法术的法器。</t>
  </si>
  <si>
    <t>神圣领域</t>
  </si>
  <si>
    <t>你将选择一个与你所信仰神祇的神职相关的神圣领域。
你可以从知识、生命、光明、自然、风暴、诡术或者战争中选择其一。
某些领域其领域法术可能并不在牧师法术列表中，此时如果你选择了该领域，则你视该领域的领域法术为你的牧师法术。</t>
  </si>
  <si>
    <t>如果你所准备德鲁伊法术中的某法术有带仪式标签，则你可以用这些法术进行仪式施法。</t>
  </si>
  <si>
    <t>当你达到第4、第6、第8、第12、第14、第16、第19级时，你可以选择一项属性值提升2点，或是选择两项属性各提升1点。
不过，你无法通过该特性让属性值超过20。</t>
  </si>
  <si>
    <t>无甲移动</t>
  </si>
  <si>
    <t>第2级起，当未穿着任何护甲也没持用盾牌时，你的移动速度增加10尺。
该加值将随着武僧职业等级的提升而增加，具体数值见“武僧职业表”中“无甲移动”一栏。
第9级起，你在自己的回合内，可以在垂直平面或水面等地形移动，但移动结束时你必须处在不会坠落的地方。</t>
  </si>
  <si>
    <t>你的法术源自你坚定信念产生的力量，因此魅力是你施展圣武士法术的关键属性。
每当你的圣武士法术需要施法关键属性是均指向你的魅力值。
而你圣武士法术的豁免DC和攻击检定，则使用你的魅力调整值。
法术豁免DC＝8＋你的熟练加值＋你的魅力调整值
法术攻击调整值＝你的熟练加值＋你的魅力调整值</t>
  </si>
  <si>
    <t>第2级起，你学会运用自然世界的魔法本源进行施法，你的施法方式与德鲁伊类似。</t>
  </si>
  <si>
    <t>当你达到第4、第8、第10、第12、第16、第19级时，你可以选择一项属性值提升2点，或是选择两项属性各提升1点。
不过你不能通过该特性让属性值超过20。</t>
  </si>
  <si>
    <t>术法起源</t>
  </si>
  <si>
    <t>选择一个术法起源作为你天赋魔力的源泉。
你可在龙族血脉或狂野魔法中选择其一。
随后，你将在第1、第6、第14、第18级获得相应起源的职业特性。</t>
  </si>
  <si>
    <t>魔能祈唤</t>
  </si>
  <si>
    <t>你在神秘学识的研习过程中发掘出魔能祈唤的方式，这些禁忌的知识残章让你获得了持久的魔法能力。
第2级时，你获得两种自选的魔能祈唤。
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</si>
  <si>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如果你法术书记录了带有仪式标签的法术，则你可以用这些法术进行仪式施法。
进行仪式施法时，你不需要准备相应的法术。</t>
  </si>
  <si>
    <t>你对魔法理论的理解使你能够以更高超的技法来使用这些法术，因此智力是你的施法关键属性。
每当你的法术需要施法关键属性时均指向你的智力值。
而你奇械师法术的豁免DC和攻击检定，也使用你的智力调整值。
法术豁免DC＝8＋你的熟练加值＋你的智力调整值
法术攻击调整值＝你的熟练加值＋你的智力调整值</t>
  </si>
  <si>
    <t>额外攻击</t>
  </si>
  <si>
    <t>第5级起，你在自己回合内执行攻击动作时可以发动两次攻击而非一次。</t>
  </si>
  <si>
    <t>诗人激励</t>
  </si>
  <si>
    <t>从第1级起，你可以用热血的话语和音乐激励他人。
此时，你可以在自己回合内用一个附赠动作指定身边60尺内一个能听到你声音的生物（不能指定你自身），并使该生物获得一个诗人激励，即一个d6的激励骰。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</si>
  <si>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领域法术</t>
  </si>
  <si>
    <t>每个领域都有其相应的领域法术列表。
当你获得表中所对应的牧师等级时，你将同时习得这些法术。
领域法术一旦习得，将会一直在你的准备法术列表中，且不计入你的每日准备法术上限。
任何领域法术对你而言都是牧师法术，而不论其是否在牧师法术列表之上。</t>
  </si>
  <si>
    <t>你可以用德鲁伊法器作为你施展德鲁伊法术的法器。</t>
  </si>
  <si>
    <t>第5级起，你在自己回合内执行攻击动作时可以发动两次攻击而非一次。
第11级后，你可以攻击三次。
第20级后可以攻击四次。</t>
  </si>
  <si>
    <t>专用武器</t>
  </si>
  <si>
    <t>从2级起，你训练自己使用各种武器作为武僧武器，而不仅仅是简易近战武器和短剑。
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</si>
  <si>
    <t>你可用圣徽作为施展你圣武士法术的法器。</t>
  </si>
  <si>
    <t>从2级起，你可以使用一件德鲁伊法器作为你的游侠法术的法器。
一件德鲁伊法器可能会是一枝槲寄生或者冬青木的枝条，用紫衫木或者其他特殊木材制作而成的魔杖或权杖，一柄从活化树木上取来的法杖，或是一件混合了神圣动物的羽毛、毛发、骨头与牙齿的物件。</t>
  </si>
  <si>
    <t>直觉闪避</t>
  </si>
  <si>
    <t>第5级起，当一个你能看见的敌人攻击命中你时，你可以用反应让此次攻击的伤害减半。</t>
  </si>
  <si>
    <t>魔力泉涌</t>
  </si>
  <si>
    <t>第2级时，你解除了体内魔力之源的封印，从中涌现的魔力体现为你的可用术法点。
你可以使用术法点创造各种魔法效应。</t>
  </si>
  <si>
    <t>魔契恩泽</t>
  </si>
  <si>
    <t>第3级时，你的宗主赋予你一份馈赠作为你忠诚服务的回馈。
你可以从下列特性中自选其一。
每种魔契恩泽都呈现为一种独特的生物或物品，并反应出你的宗主的本质。
链之魔契:你的魔宠比普通的魔宠更加机敏。
其默认形态是你的宗主的侧面体现，如至高妖精宗主的是小妖精和伪龙，邪魔宗主则是小魔鬼和夸赛魔。
因为旧日支配者不可名状的本质，任何形态的魔宠都适合它。
刃之魔契:如果你的宗主是至高妖精，那么你的武器可能是一把被藤蔓所缠绕的细长剑刃。
如果你的宗主是邪魔，你的武器则可能是一柄由黑金属铸成并雕以火焰纹饰的斧头。
如果你的宗主是旧日支配者，那么你的武器可能是一把样式古朴的长矛，一颗精心雕琢过的宝石镶嵌在矛头上，如同一只可怖的不瞑之目。
书之魔契:你那由高贵的至高妖精宗主所赐予的影之书可能是一本记载着附魔系和幻术系法术的精装镀金边书册。
你的邪魔宗主可能赐予你一本革质封皮附铁扣的沉重书册，其中记载着咒法系法术和大量的禁忌知识、以及宇宙之中的秽邪之地。
你的旧日支配者宗主可能会赐予你一本因接触它而疯狂者的破旧日记，其中记载着几个只有你自己癫狂的思维才能理解并施展的法术。</t>
  </si>
  <si>
    <t>你可以使用奥术法器来作为施展法师法术的法器。</t>
  </si>
  <si>
    <t>如果你准备了带有仪式标签的法术，则你可以用这些法术进行仪式施法。</t>
  </si>
  <si>
    <t>快速移动</t>
  </si>
  <si>
    <t>第5级起，你在未着装重甲时速度提升10尺。</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</si>
  <si>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</si>
  <si>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</si>
  <si>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
你最初将获得两种效应：驱散不死生物和另一个与你所选领域相关的效应。
随着你在冒险中提升等级，某些领域会赋予更多额外的效应，具体信息可以参考相应领域的描述内容。
引导神力最终产生的效应由你自行选择。
引导神力后，你必须完成一次短休或长休才能重新使用该特性。
某些引导神力的效应需要豁免，其豁免DC等于你的牧师法术豁免DC。
第6级起，你可以在两次休息之间使用两次引导神力，第18级后可以使用三次。
完成一次短休或长休后，你将重新获得所有消耗掉的引导神力次数。</t>
  </si>
  <si>
    <t>荒野形态</t>
  </si>
  <si>
    <t>第2级起，你可以用动作以魔力变化为曾见识过的野兽形态。
该特性可以使用两次，且在完成一次短休或长休后，你将重新获得所有消耗掉的荒野形态次数。
你的德鲁伊职业等级决定了你可以变化的野兽种类，你可以变化成任意没有飞行或游泳速度且挑战等级为1/4或更低的野兽形态。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你不能施法，并且任何说话或者需要用手的动作，在你处于野兽形态时都将受到限制。变形不会打断你正在专注的法术，也不会妨碍你执行作为已施展法术（例如召雷术call lightning）一部分的某些动作。
你保持从职业、种族或其它来源特性的收益，并且可以在新形态身体能力允许下使用这些特性。不过，你无法使用任何原有的特殊感官（例如黑暗视觉），除非你的新形态也具有这种感官。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</si>
  <si>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不屈</t>
  </si>
  <si>
    <t>第9级起，你可以重掷失败的豁免检定。
不过你必须采用重掷的结果。你必须完成一次长休才能再次使用该特性。
第13级起，你可以在两次长休之间使用两次该特性。
第17级起，你可以在两次长休之间使用三次该特性。</t>
  </si>
  <si>
    <t>宗派</t>
  </si>
  <si>
    <t>第3级时，你选择投入一个宗派精进你的技艺。
你可以从散打宗、暗影宗、四象宗中选择其一。
随后，你的将在第3、第6、第11、第17级时获得相应宗派的特性传承。</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</si>
  <si>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</si>
  <si>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
如果目标是不死生物或邪魔，则该伤害将再额外增加1d8，至高提升至6d8。</t>
  </si>
  <si>
    <t>“游侠职业表”中记录了你可用以施展你游侠法术的1环及更高环阶法术位数量。
施展某个游侠法术时，你必须同时消耗其对应环阶的法术位。
而已消耗的法术位则可以通过完成一次长休进行恢复。
例如，若你已知1环法术化兽为友且有一枚可用的1环法术位和一枚可用的2环法术位，则两法术位都可用来施展该法术。</t>
  </si>
  <si>
    <t>反射闪避</t>
  </si>
  <si>
    <t>第7级起，你可以灵巧躲过某些特定的区域效应，比如红龙的火焰吐息或是法术冰风暴。
你在成为某一范围效应影响对象时，若该效应允许你通过成功的敏捷豁免来使伤害减半，则你在该豁免成功时不受伤害，而豁免失败时只受一半伤害。</t>
  </si>
  <si>
    <t>术法点</t>
  </si>
  <si>
    <t>开始时，你拥有2个术法点。
此后你每提升一个术士等级，都会获得更多的术法点，详见“术士职业表”中“术法点”一栏。
你的术法点永远不能超过表中所列对应你当前等级的数值。
而已消耗的术法点则可以通过完成一次长休进行恢复。</t>
  </si>
  <si>
    <t>链之魔契</t>
  </si>
  <si>
    <t>你习得法术获得魔宠，并可以把它作为一个仪式施展。
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</si>
  <si>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学习法术</t>
  </si>
  <si>
    <t>你每提升一个法师等级，可以将两项自选的法师法术加入你的法术书中。
但是，你只能加入已经获得相应环阶法术位的法术。
你在冒险过程中所发现的法术也可以加入到法术书中。</t>
  </si>
  <si>
    <t>物品注法</t>
  </si>
  <si>
    <t>在第2级，你获得为普通物品注入魔法的能力。
使用此特性创造的魔法物品是永久性魔法物品的原型。</t>
  </si>
  <si>
    <t>野性直觉</t>
  </si>
  <si>
    <t>第7级时，你的直觉变的异常敏锐，从而使你骰先攻时具有优势。
此外，如果你在战斗开始时被突袭但并未陷入失能，则你仍可以在你的第一回合正常行动。不过你必须在进行任何其它行动前进入狂暴。</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</si>
  <si>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</si>
  <si>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</si>
  <si>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引导神力：驱散不死生物</t>
  </si>
  <si>
    <t>你以一个动作展示你的圣徽，并说出一段谴责不死生物的祷言。
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
被驱散的生物无法使用反应，只能使用既有的疾走Dash动作或从任何妨碍他们移动的效应中挣脱。
该生物无路可走时会使用“回避”动作。</t>
  </si>
  <si>
    <t>德鲁伊结社</t>
  </si>
  <si>
    <t>第2级时，你将选择参与一个德鲁伊结社。
你可以从大地结社或月亮结社中选择其一。
随后，你将在第2、第6、第10、第14级时获得所选结社相应的特性。</t>
  </si>
  <si>
    <t>精通重击</t>
  </si>
  <si>
    <t>从你第3级选择此范型起，你的武器攻击在掷出19或20时即可造成重击。</t>
  </si>
  <si>
    <t>拨挡飞弹</t>
  </si>
  <si>
    <t>第3级起，你可以用你的反应拨挡或抓取一个击中你的远程武器攻击。
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</si>
  <si>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神佑</t>
  </si>
  <si>
    <t>第3级起，你体内涌动的神圣魔法使你免疫疾病。</t>
  </si>
  <si>
    <t>你从游侠法术列表里选两个1环法术作为自己的已知法术。
“游侠职业表”中“已知法术”一栏记录了你获得更多已知法术时的相应等级。
你只能获取已有相应环阶法术位的法术。
比如，当你达到第5级时，你将获得一个1环或2环法术。
另外，你每提升一个游侠等级，还可以从游侠法术列表里选择一个新法术来代替一个已知法术列表中的旧法术。
但是，你必须拥有新法术的相应环阶法术位。</t>
  </si>
  <si>
    <t>可靠才能</t>
  </si>
  <si>
    <t>第11级起，你自身技能经过精炼而更趋于完美。
每当你进行的属性检定可以使用熟练加值时，你可以将d20骰中9或以下的结果都视为10。</t>
  </si>
  <si>
    <t>灵活施法</t>
  </si>
  <si>
    <t>你可以使用术法点来获得额外的法术位，或是消耗法术位来换取额外的术法点。
随着术士等级的提升，你还可以学会其他术法点的使用方法。</t>
  </si>
  <si>
    <t>刃之魔契</t>
  </si>
  <si>
    <t>你可以用一个动作从空着的手中创造一把契约武器。
你每次创造契约武器时都可以从近战武器列表中选择它的形态。
当你使用该武器时，将视为拥有该武器的熟练项。
在攻击对非魔法攻击或伤害具有抗性或免疫的目标时，该武器将视为魔法武器。
你的契约武器在离你5尺外的区域停留超过1分钟或更长时间，其将自然消失。
当你再次创造契约武器、解散契约武器（无需动作）或是死亡的情况下，契约武器也会消失不见。
你可以通过一个特殊的仪式把持有的魔法武器变为你的契约武器。
该仪式花费1小时，并且可以在短休时进行。
仪式完成后，你随时可以解散该武器，以将其转移到一个异次元空间之中。
而每当你再次创造契约武器时再将它召唤出来。
该仪式无法对神器或智能武器起作用。
如果你死亡；或是花费1小时对另外一把武器举行了仪式；或是你通过1小时的仪式打破该契约，则该武器便不再是你的契约武器。
如果在它处于异次元空间时你打破契约，那么该武器将会出现在你的脚边。</t>
  </si>
  <si>
    <t>奥术回想</t>
  </si>
  <si>
    <t>你学会了通过研读法术书来恢复魔法能量的办法。
你可以每日使用一次奥术回想，以在你完成一次短休后恢复若干已消耗的法术位，所恢复的法术位环阶总和不得大于你法师等级的一半（向上取整），且任何一枚法术位的环阶都必须小于6环。
例如，作为一名4级法师时，你可恢复环阶总数最多为2的法术位。
你可以选择恢复一枚2环法术位或两枚1环法术位。</t>
  </si>
  <si>
    <t>已知注法</t>
  </si>
  <si>
    <t>当你获得这个特性时，从职业描述末尾的“奇械师注法”列表中选择选择四个奇械师注法习得。
当你提升奇械师等级时，还能够根据“奇械师职业表”习得更多注法。
当你提升一个奇械师等级时，你能够习得一个新的奇械师注法来来替换一个原有的已知注法。</t>
  </si>
  <si>
    <t>直觉猛扑</t>
  </si>
  <si>
    <t>作为你进入狂暴状态的附赠动作的一部分，你可以移动一段等同于你速度的一半的距离。</t>
  </si>
  <si>
    <t>吟游诗人学院</t>
  </si>
  <si>
    <t>第3级时，你将选择加入一个吟游诗人的学院协会，以探寻更精深的技艺。
你可以从逸闻学院或勇气学院中选择其一。
随后，你将在第3、第6和第14级时获得相应的职业特性。</t>
  </si>
  <si>
    <t>神力掌控</t>
  </si>
  <si>
    <t>从2级起，你可以花费一次你的引导神力次数来充能你的法术。
你可以用一个附赠动作触碰你的圣徽并祈祷，你恢复一个环阶不超过你熟练加值的一半（向上取整）的法术位。
你能使用此特性的次数取决于你此职业的等级：2级一次；6级两次；18级三次。完成一次长休后，你将恢复所有已消耗的次数。</t>
  </si>
  <si>
    <t>荒野伙伴</t>
  </si>
  <si>
    <t>从2级起，你获得召唤呈现动物形态的精魂的能力，以一个动作，你能够消耗一次荒野变形使用次数来施放一次无需材料的获得魔宠法术。
当你以此方法施放该法术时，魔宠的类型是精类而不是野兽，魔宠会在等同于你德鲁伊等级一半的小时数后消失。</t>
  </si>
  <si>
    <t>运动健将</t>
  </si>
  <si>
    <t>第7级起，你可以将一半的熟练加值（向上取整）加在你不包含熟练加值的任何力量、敏捷或体质检定上。
另外，当你助跑跳远时，你能跳出的距离增加等同于你力量调整值的尺数。</t>
  </si>
  <si>
    <t>驭气以击</t>
  </si>
  <si>
    <t>从3级起，如果你在你的回合中执行动作时花费了1点或更多的气，则你可以在回合结束前用1附赠动作以徒手打击或武僧武器进行一次攻击。</t>
  </si>
  <si>
    <t>神圣誓言</t>
  </si>
  <si>
    <t>第3级起，你将立下神圣誓言，并永远与你的圣武士身份同在。
你在此之前的圣武士修行被认为仅仅是接受了一条道路而尚未立誓遵从，你之前所躬行的行为都是为此刻作准备。
神圣誓言包括奉献之誓、古贤之誓、复仇之誓等，你可从中选择其一。
随后，你将在第3，第7，第15和第20级获得所选圣誓的相应特性。</t>
  </si>
  <si>
    <t>游侠范型</t>
  </si>
  <si>
    <t>第3级时，你选择学习一种特定的战斗范型。
你可以从猎人或驯兽师中进行选择。
随后，你将在第3，第7，第11、第15级时获得所选范型的相应特性。</t>
  </si>
  <si>
    <t>听声辨位</t>
  </si>
  <si>
    <t>第14级起，只要能听到声音，你就可以定位身边10尺内躲藏或隐形的生物。</t>
  </si>
  <si>
    <t>生成法术位</t>
  </si>
  <si>
    <t>你可以在自己回合内以附赠动作将未使用的术法点转换为法术位。
表格“生成法术位”中列出了生成各法术位所需的术法点数。
另外，你无法生成高于5环的法术位。
以此方式生成的法术位将在完成一次长休后消散。
法术位环阶——术法点消耗
1环——————2
2环——————3
3环——————5
4环——————6
5环——————7</t>
  </si>
  <si>
    <t>书之魔契</t>
  </si>
  <si>
    <t>你的宗主给予你一本名为“影之书”的魔法书。
获得该特性后，从任意职业法术列表中选择三个戏法（这三个戏法不必来自同一个列表）。
该魔法书在你身上时，你可以随意施展那些法术。
它们不算入你的已知戏法数量中。
这些法术就算本来不属于邪术师法术列表，你也将其视为邪术师法术。
如果你丢失了自己的影之书，你可以举行一个1小时的仪式，并从你的宗主处获得一个替代品。
仪式可以在短休或长休期间完成，而它会摧毁之前的魔法书。
当你死亡时，该书也将化为灰烬。</t>
  </si>
  <si>
    <t>奥术传承</t>
  </si>
  <si>
    <t>第2级时，你选择一种奥术传承以使你的训练专注于八个学派之一。
从防护、咒法、预言、附魔、塑能、幻术、死灵、变化各学派中选择其一。
随后，你将在第2、第6、第10、第14级时获得所选学派相应的特性。</t>
  </si>
  <si>
    <t>为物品进行注法</t>
  </si>
  <si>
    <t>每当你完成一个长休后，你可以触摸一个非魔法的物体，使用奇械师注法来把它变成一个魔法物品。
注法只能作用于注法描述中写明的指定类型物品。
如果该物品需要调谐，你可以在为物品进行注法的那一刻调谐到它，或者你可以放弃调谐，以便其他人能够调谐到该物品。
如果你决定以后与这个物品进行调谐，你必须进行通常的调谐程序（参见《地下城主指南》第136页中的“调谐”）。
你的注法持续时间无限，但当你死亡时，注法会在你智力调整值的天数后消失（至少1天）。
如果你将某个注法从已知中替换掉，该注法的效果也将消失。
你能在一次长休后为复数物品进行注法；注法物品的最大数量请参见“奇械师职业表”。
你必须触摸每一个物体，且一种注法在同一时间内只能存在于一个物品上，而一个物品也无法进行复数次注法。
如果你试图超过你的最大注法量，则最旧的注法立即结束，然后新的注法适用。
如果注法结束时，该物品中包含有其他物品，例如是一个次元袋，其中的物品将无害地出现在它周围的空间中。</t>
  </si>
  <si>
    <t>凶蛮重击</t>
  </si>
  <si>
    <t>第9级起，计算近战攻击的重击伤害时，你可以额外骰一个所用武器的伤害骰。
第13级时，你可以额外骰两个；第17级时，你可以额外骰三个。</t>
  </si>
  <si>
    <t>第3级起，你选择两个已有的技能熟练项。此后你进行所选技能的属性检定时，可以使用双倍的熟练加值。
第10级后，你可以再选择另外两个已有的技能熟练项从该特性中获益。</t>
  </si>
  <si>
    <t>替换戏法</t>
  </si>
  <si>
    <t>从4级起，当你在此职业获得了属性值提升，你可以将一个你通过此职业的施法特性学会的牧师戏法替换为牧师法术列表中的另一个戏法。</t>
  </si>
  <si>
    <t>从4级起，每当你达到该职业提升属性值的等级时，你就可以用德鲁伊法术列表中的另一个戏法来替换你从该职业的施法特性中学到的一个戏法。</t>
  </si>
  <si>
    <t>额外战斗风格</t>
  </si>
  <si>
    <t>第10级时，你可以额外选择一个战斗风格。</t>
  </si>
  <si>
    <t>当你达到第4，第8，第12，第16、第19级时，你可以选择一项属性值提升2点，或是选择两项属性各提升1点。
不过你不能通过该特性让属性值超过20。</t>
  </si>
  <si>
    <t>圣誓法术</t>
  </si>
  <si>
    <t>每种誓言都有其相应的圣誓法术列表。
当你达到表中所示的圣武士等级时，你将同时获得其对应的圣誓法术。
圣誓法术一旦获得，将会一直在你的准备法术列表中，且不计入你的每日准备法术上限。
任何圣誓法术对你而言都是圣武士法术，而不论其是否在圣武士法术列表之上。</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</si>
  <si>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</si>
  <si>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
另外，该特性并不会知晓生物的位置或数量。</t>
  </si>
  <si>
    <t>圆滑心智</t>
  </si>
  <si>
    <t>第15级起，你的心理素质获得了大大的加强，并因此获得感知豁免的熟练项。</t>
  </si>
  <si>
    <t>法术位转换术法点</t>
  </si>
  <si>
    <t>你可以在自己回合内使用附赠动作将未使用的法术位转化为术法点。
你消耗一枚法术位并获得等于该法术位环阶的术法点。
所有你以该特性生成的法术位，在你完成一次长休后也将随之消失。</t>
  </si>
  <si>
    <t>魔契恩泽·符之魔契</t>
  </si>
  <si>
    <t>第3级时，你的宗主赐予你一个护身符，一个当需要的时候可以帮助佩戴者的护身符。
当佩戴者在一次能力检定中失败，他们可以在骰掷结果上增加一个d4骰，这可能将结果变为成功。
这一能力可使用的次数等于你的熟练加值，且所有已消耗的次数将会在你完成一次长休之后全部恢复。
如果你弄丢了护身符，你可以进行一个1小时的仪式从你的宗主那里得到一个替代品。
这一仪式可以在一个短休或一个长休过程中完成，且它将会破坏之前的护身符。
护身符将会在你死亡时消散为灰尘。</t>
  </si>
  <si>
    <t>戏法公式</t>
  </si>
  <si>
    <t>从3级起，你在法术书中写下了一套奥法公式，并能借此在心中推演出一个戏法。
每当你完成一次长休，你可以查阅法术书中所记的公式，以将你的一个已知法师戏法替换为另一个来自法师法术列表的戏法。</t>
  </si>
  <si>
    <t>奇械师专业</t>
  </si>
  <si>
    <t>在第3级，你选择自己将成为哪方面的专家：炼金师、魔炮师或战地匠师，这三个专业会在职业描述的最后进行说明。
你的选择将决定你在3级、5级、9级和15级获得的特性。</t>
  </si>
  <si>
    <t>坚韧狂暴</t>
  </si>
  <si>
    <t>第11级起，狂暴的力量让你即使身受重伤也能持续战斗。
狂暴期间，若你的生命值被降至0但未立即死亡，你可以进行一次DC10的体质豁免。豁免成功则你的生命值改为降至1。
第一次使用此特性后，每当你再次使用此特性时其体质豁免DC提高5。在你完成一次短休或长休后其DC重置为10。</t>
  </si>
  <si>
    <t>魔法激励</t>
  </si>
  <si>
    <t>第3级起，如果一个生物拥有来自你的吟游诗人激励骰子，在他释放一个恢复生命值或者造成伤害的法术时，他可以掷出激励骰子并选择法术的其中一个被法术影响的目标，在对该目标的恢复或者伤害数值上加上吟游诗人激励骰的掷骰结果，这个吟游诗人激励骰子随即被消耗。</t>
  </si>
  <si>
    <t>当你达到第4、8、12、16、19级时，你可以选择一项属性值提升2点，或选择两项属性各提升1点。
不过你不能通过该特性让属性超过20。</t>
  </si>
  <si>
    <t>高效重击</t>
  </si>
  <si>
    <t>第15级起，你的武器攻击掷出18~20时即可造成重击。</t>
  </si>
  <si>
    <t>轻身坠</t>
  </si>
  <si>
    <t>第4级起，当你要承受坠地伤害时，你可以使用反应将伤害减少等同于五倍武僧职业等级的数值。</t>
  </si>
  <si>
    <t>你的誓言使你获得引导神祇所授神圣能量的能力，引导的能量将用以实现各种魔法效应。
誓言赋予的相应效应，可以参考相关誓言的描述内容。
引导神力时，神力最终产生的效应由你自行选择。
引导神力后，你必须完成一次短休或长休才能再次使用该特性。
某些引导神力的效应需要豁免，其豁免DC等于你的圣武士法术豁免DC。</t>
  </si>
  <si>
    <t>原始意识</t>
  </si>
  <si>
    <t>从3级起（替换原初意识），你可以通过与自然的共鸣而集中你的意识:若你尚未习得下方表格种的法术，那么你在抵达对应等级时学会下方原始意识法术表格中的法术，这些法术不占用你的游侠已知法术。
始意识法术
三级 动物会话
五级 野兽知觉
九级 植物交谈
十三级 生物定位术
十七级 问道自然
你每天可以施展这些对应的法术每个一次而不需要消耗法术位，一旦你用这种方式施法，你在完成一次长休前不能再这么做。</t>
  </si>
  <si>
    <t>飘忽不定</t>
  </si>
  <si>
    <t>第18级起，你飘忽不定的身形让敌人攻击时无从下手。
除非你处于失能状态，否则以你为目标的攻击检定无法取得优势。</t>
  </si>
  <si>
    <t>超魔法</t>
  </si>
  <si>
    <t>第3级起，你可以扭曲所施展的法术使其符合你的需求。
从下述超魔法选项中选择其二。随后你将在第10和第17级分别再获得其一。
除非特别说明，否则对一个法术只能应用一种超魔法项。</t>
  </si>
  <si>
    <t>魔能选项</t>
  </si>
  <si>
    <t>从4级起，每当你的邪术师达到了可以获得属性值提升的等级，你可以做以下的一件事来代表你在奥秘研究当中重点的转变。
可以将你从该职业契约法术中学到的戏法替换为另一个邪术师法术列表中的戏法。
可以将你从魔契恩泽中选择的一个选项替换为此魔契的另一选项。
如果你的角色已经12级或者更高，你可以将一个玄奥秘法的法术替换为另一个同环邪术师法术。 
如果这些改变让你不再符合某些魔能祈唤的条件，你必须现在选择那些符合你条件的祈唤来替换它们。</t>
  </si>
  <si>
    <t>当你达到第4、第8、第12、第16、第19级时，你可以选择一项属性值提升2点，或是选择两项属性各提升1点。
不过你不能通过该特性让属性值超过20。</t>
  </si>
  <si>
    <t>称手工具</t>
  </si>
  <si>
    <t>在第3级，你将学习如何精确地制作你所需要的工具：使用盗贼工具或工匠工具，你可以在离你5英尺内的未占据空间中魔法性地制作出一套工匠工具。
这一制造需要1小时不间断的工作，可以在短休或长休的过程中进行。
这套工具是魔法的产物，但其本身是非魔法的，当你再次使用此特性时，之前制造的工具就会消失。</t>
  </si>
  <si>
    <t>持久狂暴</t>
  </si>
  <si>
    <t>第15级起，你狂暴时的情绪高涨得难以抑制，以至于只有当你昏迷或是主动终止狂暴时才能使之提前结束。</t>
  </si>
  <si>
    <t>替换诗歌</t>
  </si>
  <si>
    <t>当你的吟游诗人职业等级抵达能让你获得属性值提示职业特性时，你能进行以下一项改变。
这种变化代表着你改变了使用法术和技能的重点。
替换一个你已经选择专精的技能，你可以选择专精于另一个你已经有熟练但还没有专精的技能，之后，你原先专精于的技能变回熟练而非专精。
从诗人戏法列表表中选择一个你未习得的戏法，替换一个你已经习得的戏法。</t>
  </si>
  <si>
    <t>摧毁不死生物</t>
  </si>
  <si>
    <t>第5级起，当不死生物进行对抗你驱散特性的豁免失败时，如果其挑战等级等于或低于一个既定的下限，则该不死生物将被即时摧毁。
相应的数值列举在表格“摧毁不死生物”中。
牧师等级——摧毁不死生物的挑战等级
5th——1/2或更低
8th——1或更低
11th——2或更低
14th——3或更低
17th——4或更低</t>
  </si>
  <si>
    <t>不朽身</t>
  </si>
  <si>
    <t>第18级起，你行使的原初荒野魔力让你的衰老速度减缓。
每经过10年的岁月，你的身体就仿佛只过了1年。</t>
  </si>
  <si>
    <t>生还者</t>
  </si>
  <si>
    <t>第18级时，你持续战斗的能力达到巅峰。
你每回合开始时如果生命值不到上限的一半，则你恢复一部分生命值，其数值等于5＋你的体质调整值。
你生命值为0时不能以此获益。</t>
  </si>
  <si>
    <t>加速愈合</t>
  </si>
  <si>
    <t>从4级起，以一个动作，你能消耗2点气并且投掷一粒武艺骰，你恢复等同于掷骰结果加上你的熟练加值的生命值。</t>
  </si>
  <si>
    <t>驾驭神力</t>
  </si>
  <si>
    <t>从3级起，你能够消耗一次引导神力的使用次数来驱动法术。
以一个附赠动作，你能够通过接触圣徽，并献上祈祷，来恢复一个已消耗的法术位，其环数不能超过你的一半熟练加值（向上取整）。
你能使用此能力的次数取决于你的圣武士等级：3级1次，7级2次，15级3次。
当你完成一次长休息时，你重新获得已消耗的使用次数。</t>
  </si>
  <si>
    <t>从4级起，当你的游侠职业等级抵达能让你获得属性值提示职业特性时，你能用一个游侠可用的战斗风格替换原有的一个战斗风格，这种变化代表着你改变了武术训练和练习的重点。</t>
  </si>
  <si>
    <t>幸运一击</t>
  </si>
  <si>
    <t>第20级时，你掌握了一手非凡技巧，让你可以随时把握自己的成功之时。
当你的攻击未命中时，可以直接更改判定为命中。
或者，当你的属性检定失败时，可以直接将d20骰的结果视为20。
你必须完成一次短休或长休后才能再次使用该特性。</t>
  </si>
  <si>
    <t>谨慎法术</t>
  </si>
  <si>
    <t>施展一个让其他生物进行豁免的法术时，你可以让其中一些生物免受法术的全额威力。
实现该效应需要你使用1术法点，并指定一定数量的目标生物，其最大数量等于你的魅力调整值（至少为1）。
而被指定的生物将直接成功通过法术的豁免检定。</t>
  </si>
  <si>
    <t>法术精通</t>
  </si>
  <si>
    <t>第18级时，你对特定的法术精熟于心，甚至可以随意施展这些法术。
选择你法术书中的一项1环法师法术和一项2环法师法术，此后只要你准备了它们，就可以随意施展其最低环阶版本，且无需消耗法术位。
你也可以消耗法术位来施展其更高环阶版本。
通过8小时的研习，你可以将这两项法术中的任一项替换为同环阶的其他法术。</t>
  </si>
  <si>
    <t>不屈勇武</t>
  </si>
  <si>
    <t>第18级起，你进行力量检定的总值低于你的力量值时，可以直接使用力量值作为检定结果。</t>
  </si>
  <si>
    <t>当你达到第4、8、12、16、19级时，你可以选择一项属性值提升2点，或选择两项属性各提升1点。
不过你不能通过此特性让属性超过20。</t>
  </si>
  <si>
    <t>受祝击</t>
  </si>
  <si>
    <t>从8级起（替代神圣打击或强力施法），在战斗中，你受到神力的祝福，当你通过戏法或武器攻击来伤害一个生物时，你能够对该生物造成额外1d8光耀伤害。
当你造成一次此伤害后，你直到自己的下一个回合开始前无法再次使用此特性。</t>
  </si>
  <si>
    <t>野兽施法</t>
  </si>
  <si>
    <t>第18级起，你在荒野变形状态下可以施展大部分的德鲁伊法术。
在野兽形态时，你可以完成德鲁伊法术的姿势与语言成分，但无法完成其材料成分的使用。</t>
  </si>
  <si>
    <t>卓越战技</t>
  </si>
  <si>
    <t>在你选择此范型的第3级时，你习得战技并获得驱动战技的卓越骰。
战技：你习得三种自选战技，详见后文。
战技强化了你的攻击。而你在每次攻击时只能应用一种战技。
你在第7，第10和第15级时均习得两种新战技。
习得新战技时，你还可以额外替换一个已经习得的战技。
卓越骰：你拥有四个d8卓越骰。
卓越骰一经使用即消耗，完成短休或长休后恢复。
你的卓越骰在第7和第15级时各增加一粒。
豁免：某些战技需要目标进行豁免检定作抵抗。
战技的豁免DC为：
豁免DC＝8＋你的熟练加值＋你的力量或敏捷调整值（自选）</t>
  </si>
  <si>
    <t>战斗变通</t>
  </si>
  <si>
    <t>每当你通过提升圣武士等级获得属性值提升时，你可以用另一个圣武士能够选择的战斗风格替换你当前的战斗风格，这一变化代表着你在战斗训练上重心的转移。</t>
  </si>
  <si>
    <t>快手</t>
  </si>
  <si>
    <t>第3级起，你可以使用从“灵巧动作”特性中得到的附赠动作来进行一次敏捷（巧手）检定，或是以该附赠动作使用盗贼工具来解除陷阱、撬锁，或执行“使用物件”动作。</t>
  </si>
  <si>
    <t>远程法术</t>
  </si>
  <si>
    <t>施展一个施法距离不小于5尺的法术时，你可以使用1术法点使该法术的施法距离翻倍。
施展一个施法距离为触及的法术时，你可以使用1术法点将法术的施法距离改为30尺。</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</si>
  <si>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</si>
  <si>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
完成一次长休后，所有消耗掉的秘法都会恢复。</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</si>
  <si>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</si>
  <si>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
你可以施展这两个法术的3环版本各一次，且无需消耗法术位。
招牌法术使用后，需要完成一次短休或长休才能再次使用。
你也可以消耗法术位施展这两个法术的更高环阶版本。</t>
  </si>
  <si>
    <t>工具专精</t>
  </si>
  <si>
    <t>从第6级起，你在使用你熟练的工具时，能够使用双倍的熟练加值。</t>
  </si>
  <si>
    <t>原初斗士</t>
  </si>
  <si>
    <t>第20级时，你的存在即是野性之力的具现。你的力量和体质各提升4。并且你这两项属性的上限变为24。</t>
  </si>
  <si>
    <t>激励之源</t>
  </si>
  <si>
    <t>第5级起，你可以在完成短休或长休后恢复你已消耗的诗人激励次数。</t>
  </si>
  <si>
    <t>神圣干预</t>
  </si>
  <si>
    <t>第10级起，你可以在迫切需要帮助时，召唤神祇的协助。
你需要用一个动作来请求所信仰神祇的帮助。描述你所需要的帮助，然后掷d100。如果你的结果等于或者小于你的牧师等级，你将得到神祇的回应。
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</si>
  <si>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大德鲁伊</t>
  </si>
  <si>
    <t>第20级时，你可以无限次的使用荒野变形。
另外，你还可以将德鲁伊法术中的姿势和语言成分，以及非无价值且不被法术消耗的材料成分忽略。
你在原形态和荒野形态下都可以从此特性获益。</t>
  </si>
  <si>
    <t>战争学徒</t>
  </si>
  <si>
    <t>第3级时，你选择一种工匠工具并获得其熟练项。</t>
  </si>
  <si>
    <t>震慑拳</t>
  </si>
  <si>
    <t>第5级起，你能够阻碍敌人体内的气的流动。
你的近战武器攻击命中时，可以消耗1点气尝试发动震慑拳。
被命中目标必须进行一次体质豁免，豁免失败则受到震慑，并持续至你的下一回合结束。</t>
  </si>
  <si>
    <t>梁上君子</t>
  </si>
  <si>
    <t>第3级选择此范型起，你获得比通常情况更快的攀爬速度，从而使攀爬不再消耗额外的移动力。
此外，当你做一个有助跑的跳远时，跳远距离增加一定的尺数，其数值等于你的敏捷调整值。</t>
  </si>
  <si>
    <t>强效法术</t>
  </si>
  <si>
    <t>为法术进行伤害掷骰时，你可以使用1术法点重掷其中一定数量的骰子。
重掷骰子的最大数等于你的魅力调整值（至少为1），且你必须接受新的结果。
强效法术超魔可以与其他超魔法选项合用。</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</si>
  <si>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</si>
  <si>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</si>
  <si>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防护学者</t>
  </si>
  <si>
    <t>从第2级你选择该学派起，你向法术书中抄写防护系法术的时间和金钱花费减半。</t>
  </si>
  <si>
    <t>灵光一闪</t>
  </si>
  <si>
    <t>从第7级起，你获得了在压力下想出解决方案的能力。
当你或距离你30英尺内的可见生物进行属性检定或豁免检定时，你能以一个反应将你的智力调整值添加到此次检定中。
你能使用此能力的次数等于你的智力调整值（最少1次）。
在你完成一次长休后，将恢复所有可用次数。</t>
  </si>
  <si>
    <t>狂怒</t>
  </si>
  <si>
    <t xml:space="preserve">从你第3级选择此道途起，你可以在进入狂暴的同时进入狂怒。
使用此特性时，你可以在本回合之后狂暴持续时间内的每个回合里，以一个附赠动作发动一次近战武器攻击。而当本次狂暴终止时，你将提升一级力竭。 </t>
  </si>
  <si>
    <t>反迷惑</t>
  </si>
  <si>
    <t>第6级起，你获得用音乐或话语来打断心控效应的能力。你可以使用一个动作开始一场持续至你的下一回合结束的演出。在这段时间内，你与你身边30尺内的友方生物进行对抗恐慌或魅惑效应的豁免检定具有优势。该生物必须能听到你的声音才能获得此增益。这场表演在你陷入失能状态、被沉默、或主动终止（无需动作）时会提前结束。</t>
  </si>
  <si>
    <t>知识领域法术</t>
  </si>
  <si>
    <t>牧师等级——法术
1st——命令术、鉴定术
3rd——卜筮术、暗示术
5th——回避侦测、死者交谈
7th——秘法眼、困惑术
9th——通晓传奇、探知</t>
  </si>
  <si>
    <t>附赠戏法</t>
  </si>
  <si>
    <t>在第2级选择该结社时，你学会一个额外的德鲁伊戏法。</t>
  </si>
  <si>
    <t>知己知彼</t>
  </si>
  <si>
    <t>第7级起，你在战斗外观察某生物或与之交互至少1分钟后，可以获知有关其能力的一些情报。
从下列选项中选择其二，DM将告诉你在这两项上你是强于该生物，弱于该生物，或是与之相仿。
力量值
敏捷值
体质值
护甲等级
当前生命值
总职业等级（如果有）
战士职业等级（如果有）</t>
  </si>
  <si>
    <t>凝神聚气</t>
  </si>
  <si>
    <t>从5级起，当你攻击检定未命中时，你可以花费1到3点气来使该次攻击检定获得加值，每点气的消耗能获得+2加值，这可能会使原本的未命中改为命中。</t>
  </si>
  <si>
    <t>第5级起，你在自己回合内执行攻击动作时可以攻击两次而非一次。</t>
  </si>
  <si>
    <t>大地行者</t>
  </si>
  <si>
    <t>第8级起，你穿过非魔法的困难地形时不会消耗额外移动力。
你穿过非魔法的植物时不会消耗额外移动力，且这类植物的荆棘、毛刺或类似的危害物也无法对你造成伤害。
另外，在抵抗魔法制造或控制的植物造成的移动障碍效应时（例如纠缠术），你的豁免检定具有优势。</t>
  </si>
  <si>
    <t>极效潜行</t>
  </si>
  <si>
    <t>第9级起，当回合内移动距离不超过自身速度一半时，你的敏捷（隐匿）检定将获得优势。</t>
  </si>
  <si>
    <t>延效法术</t>
  </si>
  <si>
    <t>施展一个持续时间不短于1分钟的法术时，你可以使用1术法点使法术的持续时间翻倍，但其最终结果不能超过24小时。</t>
  </si>
  <si>
    <t>苦痛魔爆</t>
  </si>
  <si>
    <t>施展魔能爆eldritch blast时，你可以将魅力调整值加到其每次命中所造成的伤害中。
先决条件：习得戏法 魔能爆</t>
  </si>
  <si>
    <t>奥术守御</t>
  </si>
  <si>
    <t>第2级起，你可以编织身边的魔法用作防护。
你施展一道1环或更高环阶的防护系法术时，可以用该法术的一丝魔力创造一个保护自己的魔法结界，该结界将持续至你完成一次长休。
结界的生命值等于你法师等级的两倍＋你的智力调整值。
每当你受伤害时，该结界都会替你承受伤害。
如果伤害使结界的生命值降至0，则你将承受剩余的伤害。
奥术守御的生命值降至0时不再吸收伤害，但其魔法仍然存在。
你每次施展1环或更高环阶防护系法术时，结界都能以此恢复两倍于该法术环阶数量的生命值。
创造奥术守御后，你必须完成一次长休才能再次创造新的奥术守御。</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</si>
  <si>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</si>
  <si>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</si>
  <si>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无我狂暴</t>
  </si>
  <si>
    <t>第6级起，你在狂暴中不会被魅惑或恐慌。
如果你开始狂暴时已经陷入魅惑或恐慌，则该效应在你狂暴期间被压制。</t>
  </si>
  <si>
    <t>魔法奥秘</t>
  </si>
  <si>
    <t>第10级起，你从旋律中了解了大量的魔法知识，使你可以从所有职业的法术列表里选择两个法术（包括诗人列表）加入已知法术中。你所选择的法术必须是你当前等级可以施展的环阶法术或戏法。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</si>
  <si>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知识祝福</t>
  </si>
  <si>
    <t>第1级起，你学会两门自选语言。你还从以下技能中选择两项加入你的熟练项中：奥秘、历史、自然、宗教。
你进行关于所选两项技能的属性检定时，可以加上双倍的熟练加值。</t>
  </si>
  <si>
    <t>自然恢复</t>
  </si>
  <si>
    <t>第2级起，你可以通过静坐冥想与自然建立交流，并以此恢复部分魔法能量。
完成一次短休后，你可以选择恢复部分已使用的法术位。
所恢复法术位环阶的总和等于你德鲁伊职业等级的一半（向下取整），且不能是6环或更高环阶。
你在完成一次长休后才能再次使用该特性。
例如，作为一名4级德鲁伊时，你可恢复环阶总数为二的法术位。
你可以选择恢复一枚2环法术位或者两枚1环法术位。</t>
  </si>
  <si>
    <t>精通卓越战技</t>
  </si>
  <si>
    <t>第10级时，你的卓越骰变为d10。
第18级时，你的卓越骰变为d12。</t>
  </si>
  <si>
    <t>真气驻拳</t>
  </si>
  <si>
    <t>第6级起，攻击对非魔法攻击或伤害具有抗性或免疫的目标时，你的徒手打击视为魔法攻击。</t>
  </si>
  <si>
    <t>守护灵光</t>
  </si>
  <si>
    <t>第6级起，你与友方生物在你身边10尺内进行豁免检定时，可以将你的魅力调整值作为加值加在其豁免结果上（至少为 +1）。
提供该加值时你必须保持意识清醒。
第18级起，该灵光的作用范围扩展至30尺。</t>
  </si>
  <si>
    <t>遁术</t>
  </si>
  <si>
    <t>第10级起，你可以花1分钟来为自己制作伪裝。
你必须能取用新鲜的泥土、植物、煤烟等天然物料进行制作。
伪装完成后，你可以将自己贴上至少跟自己等高等阔的实体表面（如树干或墙壁）并尝试躲藏。
如果你留在原地不移动且不执行动作，则你的敏捷（隐匿）检定获得+10加值。一旦移动、执行动作或执行反应，你都必须重新伪装以重获该增益。</t>
  </si>
  <si>
    <t>使用魔法装置</t>
  </si>
  <si>
    <t>第13级起，你学习的魔法知识足以让你使用并不是为你设计的魔法物品。
此后你在使用魔法物品时，可以忽略所有职业、种族和等级的限制条件。</t>
  </si>
  <si>
    <t>升阶法术</t>
  </si>
  <si>
    <t>施展一个迫使一个生物进行豁免以抵御其效应的法术时，你可以花费3术法点使该法术所有目标中的一个首次进行对抗该法术的豁免时具有劣势。</t>
  </si>
  <si>
    <t>幽影护甲</t>
  </si>
  <si>
    <t>你可以随意以自身为目标施展法师护甲mage armor，且无需消耗法术位和材料成分。</t>
  </si>
  <si>
    <t>投射守御</t>
  </si>
  <si>
    <t>第6级起，你周边30尺内一个你能看见的生物受到伤害时，你可以用你的反应，以你现有的奥术守御吸收这次伤害。
如果这次伤害将结界的生命值降至0，则被保护的目标将承受剩余的伤害值。</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</si>
  <si>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</si>
  <si>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
如果该法术需要专注，则启动物品的生物必须进行专注。
该法术将留存在物品中，直到使用次数用完（最大使用次数等于你智力调整值的两倍（至少两次））或直到你再次使用该特性。</t>
  </si>
  <si>
    <t>威慑之姿</t>
  </si>
  <si>
    <t>第10级起，你可以用一个动作展示自己的可怖姿态来恐吓他人。指定30尺内一个你能看见的生物。如果该生物能看见你或听见你的声音，则其必须进行一次感知豁免（DC为8＋你的熟练加值＋你的魅力调整值），豁免失败者将因此而陷入恐慌，并持续至你的下回合结束。在接下来的回合里，你可以通过使用动作来延长此效应的持续时间，使之持续至你此后一回合结束。如果该生物在结束其回合时离开你的视线范围，或是离开你60尺外，则此效应提前终止。
如果此生物成功通过此豁免，则你在随后的24小时内无法对该生物使用此特性。</t>
  </si>
  <si>
    <t>先发激励</t>
  </si>
  <si>
    <t>第20级起，你骰先攻时若没有可用的诗人激励次数，则你获得一次使用次数。</t>
  </si>
  <si>
    <t>引导神力：岁月知识</t>
  </si>
  <si>
    <t>第2级起，你可以用引导神力特性接入神圣的知识之井。
作为一个动作，你可以选定一个技能或工具，并在接下来的10分钟内视为拥有其熟练项。</t>
  </si>
  <si>
    <t>结社法术</t>
  </si>
  <si>
    <t>你跟大地之间的神秘链接让你可以施展特别的法术。
在第3、第5、第7、第9级时，你根据成为德鲁伊时的所在地获得相应的结社法术。
选择一个地形：极地、海岸、荒漠、森林、草原、山地、沼泽，并依此获得相应的法术。
结社法术一旦获得，将会一直在你的已准备法术列表中，且不计入你的每日准备法术上限。
任何结社法术对你而言都是德鲁伊法术，而不论其是否在德鲁伊法术列表之上。</t>
  </si>
  <si>
    <t>坚韧</t>
  </si>
  <si>
    <t>第15级起，你骰先攻时若没可用的卓越骰，则你获得1枚卓越骰。</t>
  </si>
  <si>
    <t>第7级起，你敏锐的直觉让你可以躲过某些特定的区域效应，比如蓝龙的闪电吐息或是法术火球术。
你在成为某一范围效应影响对象时，若该效应允许你通过成功的敏捷豁免来使伤害减半，则你在该豁免成功时不受伤害，而豁免失败时只受一半伤害。</t>
  </si>
  <si>
    <t>勇气灵光</t>
  </si>
  <si>
    <t>第10级起，你与友方生物在你身边10尺内不会陷入恐慌。
提供该增益时你必须保持意识清醒。
第18级起，该灵光的作用范围扩展至30尺。</t>
  </si>
  <si>
    <t>自然面纱</t>
  </si>
  <si>
    <t>从10级起（替换遁术），你可以暂时地使用自然的力量将你的身形遮蔽。
以一个附赠动作，你可以魔法地使自己与正携带、着装的任何装备变得隐形，直到你的下个回合开始。
你可以使用该特性同等于你的熟练加值次，你在完成一次长休后恢复所有的使用次数。</t>
  </si>
  <si>
    <t>窃盗本能</t>
  </si>
  <si>
    <t>第17级起，你变的更加擅长伏击和快速脱离险境。
战斗的第一轮里，你可以行动两个回合：即你先以自己正常的先攻执行一个回合行动，再以先攻数值减10的数值作为另一先攻额外执行一回合的行动。
你不能在遭受突袭时使用该特性。</t>
  </si>
  <si>
    <t>瞬发法术</t>
  </si>
  <si>
    <t>施展一个施法时间为1动作的法术时，你可以使用2术法点将其施法时间改为1附赠动作。</t>
  </si>
  <si>
    <t>星移步法</t>
  </si>
  <si>
    <t>你可以随意以自身为目标施展浮空术levitate，且无需消耗法术位和材料成分。
先决条件：第9级</t>
  </si>
  <si>
    <t>精通防护</t>
  </si>
  <si>
    <t>第10级起，你施展一个需要你在施法过程中进行属性检定的防护系法术时（比如反制法术和解除魔法），你可以在进行相应的属性检定时加上你的熟练加值。</t>
  </si>
  <si>
    <t>魔法物品专家</t>
  </si>
  <si>
    <t>当你达到14级时，你在魔法物品方面的技巧愈发精进：
你一次最多可以调谐五个魔法物品。
你无视调谐或使用魔法物品所需的任何职业、种族、法术和等级条件。</t>
  </si>
  <si>
    <t>报偿</t>
  </si>
  <si>
    <t>第14级起，身边5尺内敌人对你造成伤害时，你可以用反应对该生物发动一次近战武器攻击。</t>
  </si>
  <si>
    <t>附赠熟练项</t>
  </si>
  <si>
    <t>第3级选择逸闻学院时，你获得三个自选技能的熟练项。</t>
  </si>
  <si>
    <t>引导神力：读心</t>
  </si>
  <si>
    <t>第6级起，你可以用引导神力特性阅读某生物的思想，以此接触其意识并对其下达命令。
作为一个动作，你指定身边60尺内一个你可以看见的生物。该生物必须进行一次感知豁免。豁免成功则你不能对其使用该特性，直至你完成一次长休。
如若豁免失败，且其仍身处你周边60尺内，则你可以阅读其表层的思想（最基础的意识，当前情绪的反映以及正活跃的思考内容）。该效应持续1分钟。
效应持续期间，你可以用你的动作终止该效应，并同时对其施展一个无需花费法术位的暗示术。而目标对该法术的豁免将直接判定为失败。</t>
  </si>
  <si>
    <t>第6级起，你穿过非魔法的困难地形时不会消耗额外移动力。
你穿过非魔法的植物时不会消耗额外的移动力，且这类植物的荆棘、毛刺或类似的危害物也无法对你造成伤害。
另外，在抵抗魔法制造或控制的植物造成的移动障碍效应时（例如纠缠术），你进行豁免检定时具有优势。</t>
  </si>
  <si>
    <t>战技</t>
  </si>
  <si>
    <t>以下各战技按名称头字母顺序排列。</t>
  </si>
  <si>
    <t>心如止水</t>
  </si>
  <si>
    <t>第7级起，你可以用你的动作结束一个正影响你的魅惑或恐慌状态。</t>
  </si>
  <si>
    <t>精通至圣斩</t>
  </si>
  <si>
    <t>第11级起，你体内充盈的公正之力使你的近战武器打击中携带着神圣的力量。
当你使用近战武器命中一个生物时，该生物将额外受到1d8点光耀伤害。</t>
  </si>
  <si>
    <t>无踪步</t>
  </si>
  <si>
    <t>第14级起，你可以在自己回合以一个附赠动作的形式执行躲藏动作。
此时，你无法被非魔法手段追踪到，除非你主动留下踪迹。</t>
  </si>
  <si>
    <t>你在第3级选择此范型时，获得易容工具和制毒者工具的熟练项。</t>
  </si>
  <si>
    <t>精妙法术</t>
  </si>
  <si>
    <t>施展一个法术时，你可以使用1术法点无视该法术施法必须的语言成分或姿势成分。</t>
  </si>
  <si>
    <t>野兽之语</t>
  </si>
  <si>
    <t>你可以随意施展动物交谈speak with animals，且无需消耗法术位。</t>
  </si>
  <si>
    <t>法术抗性</t>
  </si>
  <si>
    <t>第14级起，你抵抗法术时进行的豁免检定具有优势。
此外，你对法术造成的伤害具有抗性。</t>
  </si>
  <si>
    <t>魔法物品大师</t>
  </si>
  <si>
    <t>18级起，你一次最多可以调谐六个魔法物品。</t>
  </si>
  <si>
    <t>精魄寻者</t>
  </si>
  <si>
    <t>你追求融入自然之道，与动物为友。在你选择此道途的第3级起，你获得施展法术野兽知觉beast sense与动物交谈speak with animals的能力，但你只能以仪式的方式施展它们。</t>
  </si>
  <si>
    <t>语出惊人</t>
  </si>
  <si>
    <t>第3级起，你学会运用你的妙语连珠来打断敌人，迷惑对方或影响他人的信心。当你身边60尺内一个你能看见的生物进行攻击检定，属性检定或伤害掷骰时，你可以用反应消耗一次诗人激励次数来掷一次激励骰。并在目标的掷骰结果中减去你的激励骰结果。你可以在目标掷出骰子后，DM宣布结果之前决定是否使用该特性。若目标无法听见你的话语或免疫魅惑状态，则目标同样也会免疫该特性。</t>
  </si>
  <si>
    <t>强力施法</t>
  </si>
  <si>
    <t>第8级起，你施展牧师戏法造成伤害时，可以再加上你的感知调整值。</t>
  </si>
  <si>
    <t>自然之护</t>
  </si>
  <si>
    <t>第10级起，你免疫元素生物或精类生物造成的魅惑或恐慌状态，并且免疫中毒和疾病。</t>
  </si>
  <si>
    <t>指挥官奇袭</t>
  </si>
  <si>
    <t>你在自己回合内执行攻击动作时，可以放弃一次攻击并使用附赠动作指挥一名盟友发动奇袭。
使用此战技时，你消耗一粒卓越骰，并指定一名能看见你或能听到你声音的盟友。所选盟友可以立即使用反应发动一次武器攻击，并将消耗的卓越骰加在此次攻击的伤害掷骰中。</t>
  </si>
  <si>
    <t>百病不侵</t>
  </si>
  <si>
    <t>第10级起，你浑身的气流动使你免疫疾病和毒素。</t>
  </si>
  <si>
    <t>净化之触</t>
  </si>
  <si>
    <t>第14级起，你可以用动作触碰你自身或一个自愿生物，以中止该目标身上的一个法术效应。
该特性的可用次数等于你的魅力调整值（至少一次）。
而已消耗的特性使用次数则可以通过完成一次长休进行恢复。</t>
  </si>
  <si>
    <t>野性感官</t>
  </si>
  <si>
    <t>第18级时，你获得超自然的感官以帮助你对抗看不到的生物。
此后，你攻击一个看不到的生物时不会因此承受劣势。
另外，你还能感测30尺内所有隐形敌人的位置，前提是该生物并没有针对你进行躲藏，而你也没有陷入目盲或耳聋。</t>
  </si>
  <si>
    <t>暗杀</t>
  </si>
  <si>
    <t>第3级起，你一旦获得先机就会变得更加致命。
你对战斗开始后还没开始过自己回合的生物发动攻击时，所进行的攻击检定具有优势。
此外，你攻击命中被突袭的生物时，必定则造成重击。</t>
  </si>
  <si>
    <t>孪生法术</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</si>
  <si>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例如，魔法飞弹和灼热射线可能无法使用该超魔法项，而冷冻射线和繁彩球则不会出现该问题。
适用该超魔的法术在其当前环阶时不能同时指定多个生物为目标。
比如，魔法飞弹和灼热射线不符合条件，而冷冻射线和繁彩球则符合条件。</t>
  </si>
  <si>
    <t>诱导话术</t>
  </si>
  <si>
    <t>你获得欺瞒和游说技能的熟练项。</t>
  </si>
  <si>
    <t>咒法学者</t>
  </si>
  <si>
    <t>从第2级你选择该学派起，你向法术书中抄写咒法系法术的时间和金钱花费减半。</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</si>
  <si>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</si>
  <si>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</si>
  <si>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图腾精魄</t>
  </si>
  <si>
    <t xml:space="preserve">在你选择此道途的第3级时，选择一项图腾精魄并获得其能力。你必须制造或获取一个象征图腾兽其毛，羽，爪，牙或骨的图腾物件，可以是项链，也可以是其他类似的物件。如果你愿意，你的外貌也会发生些微改变，让人看到时不由得联想起你的图腾精魄。例如，如果选择熊的图腾精魄，你可能变得毛发旺盛，皮肤粗厚；如果选择雕的图腾精魄，你的眼睛可能变成明亮的黄色。
你可选择下表中的动物，或是其他更适合你故乡环境的类似动物。例如，你可以用鹰hawk或秃鹫vulture代替雕eagle。
• 熊：狂暴时，你获得对心灵伤害之外任何伤害类型的抗性。熊之精魄令你坚韧无匹，无惧于任何打击。
• 雕：狂暴时，如果你未着装重甲，则其他生物在对你进行借机攻击时进行的攻击检定具有劣势。另外，你在自己回合内可以用附赠动作执行疾行动作。雕之精魄让你成为在战场中自由穿梭的猎杀者。
• 狼：狂暴时，如果你周围５尺范围内有任何敌对生物，则你的盟友对这些生物发动近战攻击时的攻击检定具有优势。狼之精魄让你成为猎手中的领袖。
这些选项可以在你3级选择图腾动物时选择。
 和《玩家手册》中的精魂一样，这里的选项需要一个与你图腾动物相关的物品，同时你也可能在相貌外形上与你的图腾精魂相似。例如如果你的图腾精魂是麋鹿，则你会有一个大鼻子；如果你的图腾精魂是老虎，则你的眼睛可能长的和猫类似。
此外，你的图腾精魂可能是一种更适合你生长的地方的动物，例如一匹马或者鹿来代替麋鹿，一只狮子或者豹或者其他大型猫科动物来代替老虎。
• 鹿Elk。狂暴期间，若你未着重甲，你的步行速度增加15尺。鹿之精魂的庇佑使你格外迅捷。
• 虎Tiger。狂暴期间，你增加10尺的跳跃距离和3尺的跳高距离。虎之精魂赋予你飞跃的能力。 </t>
  </si>
  <si>
    <t>额外魔法奥秘</t>
  </si>
  <si>
    <t>第6级时，你从任意职业的法术列表里选择两个法术加入已知法术中。
你选择的法术必须是你当前等级可以施展的环阶或戏法。所选法术对你而言视为吟游诗人法术，但不包含在“诗人职业表”上“已知法术”一栏的所记录的数量之内。</t>
  </si>
  <si>
    <t>透视过去</t>
  </si>
  <si>
    <t>第17级起，你可以看到过去的情形。你花费至少1分钟冥想，然后将以梦幻阴暗的形式瞥见最近发生的事件。你在维持幻觉的时长分钟数等于你的感知值。而在这段时间里，你必须要如施法般维持专注。
你使用该特性后必须完成一次短休或长休才能再次启用。
•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</si>
  <si>
    <t>自然庇护所</t>
  </si>
  <si>
    <t>第14级起，自然界的生物感知到你跟自然的链接而不会主动攻击你。
当一个野兽或植物类的生物攻击你时，该生物必须先进行一次对抗你德鲁伊法术DC的感知豁免。
豁免失败时，该生物必须选择另一个目标，否则其攻击将判为未命中。
豁免成功时，该生物在随后的24小时内免疫此效应。
该生物会在攻击你之前就意识到你有此效应。</t>
  </si>
  <si>
    <t>缴械攻击</t>
  </si>
  <si>
    <t>你以武器攻击命中敌人时，可消耗一粒卓越骰以尝试缴械目标，使其丢弃手中持握的一件物品。
使用此战技时，你将消耗的卓越骰加在此次攻击的伤害掷骰中，并迫使目标必须进行一次力量豁免。豁免失败则其丢弃手中持握的一件物品（由你选择）。被丢弃的物品将掉落在该生物脚下。</t>
  </si>
  <si>
    <t>天语通</t>
  </si>
  <si>
    <t>第13级起，你可以与其它生物进行心灵交流。
此后，你能够听懂所有语言，同时掌握至少一门语言的任何生物都能理解你讲的话语。</t>
  </si>
  <si>
    <t>奉献圣誓法术</t>
  </si>
  <si>
    <t>圣武士等级——法术
3rd——防护善恶，庇护术
5th——次级复原术，诚实之域
9th——希望信标，解除魔法
13th——行动自如，信仰守卫
17th——通神术，焰击术</t>
  </si>
  <si>
    <t>屠灭众敌</t>
  </si>
  <si>
    <t>第20级时，你成为了猎杀敌人的无双猎手。
你在自己的每个回合内，都有一次机会将你的感知调整值加到你对宿敌进行的攻击检定或伤害掷骰上。
你可以在掷骰之前或者之后决定使用该特性，但必须在该掷骰的相关效应被应用之前。</t>
  </si>
  <si>
    <t>专业渗透</t>
  </si>
  <si>
    <t>第9级起，你可以不限次的为自己伪造身份。
你必须花费七天和25gp来为身份编造历史、工作和人际关系。
不过你不能伪造成已存在的角色。
例如，你获得相应的衣服、介绍信和官方证明，使得你自己看上去就是一个来自偏远城市贸易屋的成员，然后你就可以混入其他商人中间。
此后，如果你通过易容获取了这个身份，其他生物就相信你是那个人，直至其得到一个显而易见的理由可以否定这个身份。</t>
  </si>
  <si>
    <t>追踪法术</t>
  </si>
  <si>
    <t>当你因法术进行一次攻击检定并击失时，你可以使用2术法点重投之。
你必须使用重投的结果，追踪法术超魔可以与其他超魔法选项合用。</t>
  </si>
  <si>
    <t>惑人低语</t>
  </si>
  <si>
    <t>你可以消耗你的邪术师法术位施展一个强迫术compulsion。你必须完成一次长休才能再次施展该法术。
先决条件：第7级</t>
  </si>
  <si>
    <t>次级咒术</t>
  </si>
  <si>
    <t>从第2级你选择该学派起，你可以用你的动作召来一件无生命的物件。
该物件将出现在你手中，或者你周边10尺范围内一处那你能看见且未被占据的地面空间。
该物件每边长度不得大于3尺，重量不得大于10磅。
其形状必须是你曾经见过的一件非魔法物件的形状。
该物件看起来明显是由魔法构成且散发着出5尺范围的微光光照。
该物件将在1小时后消失不见。
当你再次使用该特性，或当其受到伤害或造成伤害时，物件也会提前消失。</t>
  </si>
  <si>
    <t>奇械师注法</t>
  </si>
  <si>
    <t>奇械师注法是一种非凡的、能将非魔法物品变成魔法物品的工序。每个注法的描述都会告诉你可以接受它的物品类型，以及所产生的魔法物品是否需要同调的要求。
有些注法规定了最低的奇械师等级。你必须达到那个等级或以上才能学习该注法。
除非注法的描述中写明，否则你无法重复学习同一个注法。</t>
  </si>
  <si>
    <t>兽之形</t>
  </si>
  <si>
    <t xml:space="preserve">第6级时，你根据所选的图腾兽获得一项魔法能力。
你可以选择和第3级时相同的图腾，也可以另做选择。
• 熊：你拥有熊之巨力。你的载重（包括最大负重和最大举重）翻倍，并且你在推、拉、举和破坏物件时进行的力量检定具有优势。
• 雕：你拥有雕之锐目。你可以轻易的看清1里之内的范围，细节之处与100尺距离内的影像一样清晰。此外，你在微光环境中进行感知（察觉）检定时不会具有劣势。
• 狼：你拥有狼之敏锐。你可以在用快速步调旅行的同时追踪其他生物，也可以在用正常步调旅行时保持隐匿（旅行步调见第8章）。
这些选项可以在你6级选择图腾动物时选择 。 
• 鹿Elk。无论你是骑乘还是徒步，你的旅行速度变为双倍。只要你未失能，在你周围60尺内的最多十个同伴也能得到这个好处（参考《玩家手册》第八章得到更多有关旅行速度的信息）。鹿的精魂祝福你行得更远更快。
• 虎Tiger。你从下列技能中选择两个技能，你得到它们的熟练：运动、特技、潜行、求生。虎之精魂磨练了你的生存本能。 </t>
  </si>
  <si>
    <t>超凡技艺</t>
  </si>
  <si>
    <t>第14级起，你进行属性检定时，可以花费一次诗人激励次数并掷一次激励骰，然后将结果加到你的属性检定上。
你可以在掷完属性检定后，DM宣布结果前决定是否使用此特性。</t>
  </si>
  <si>
    <t>生命领域法术</t>
  </si>
  <si>
    <t>牧师等级——法术
1st——祝福术，疗伤术
3rd——次级复原术，灵体武器
5th——希望信标，回生术
7th——防死结界，信仰守卫
9th——群体疗伤术，死者复活</t>
  </si>
  <si>
    <t>战斗荒野形态</t>
  </si>
  <si>
    <t>从你选择该结社的第2级起，你可以在自己回合内用一个附赠动作而不是动作来使用荒野形态特性。
此外，在你荒野形态变形期间，你可以用附赠动作消耗一个法术位来恢复相应法术位每环阶1d8点生命值。</t>
  </si>
  <si>
    <t>扰乱打击</t>
  </si>
  <si>
    <t>你以武器攻击命中敌人时，可以消耗一粒卓越骰以扰乱该目标，让你的盟友有机可乘。
使用此战技时，你将消耗的卓越骰加在此次攻击的伤害掷骰中。此后直至你下一回合开始，下一次由除你之外的生物对目标发动的攻击检定具有优势。</t>
  </si>
  <si>
    <t>金刚魂</t>
  </si>
  <si>
    <t>第14级起，你对气的掌控令你所有的豁免检定都成了熟练项。
另外，当豁免失败时，你可以消耗1点气重掷豁免并使用重掷的结果。</t>
  </si>
  <si>
    <t>引导神力-奉献</t>
  </si>
  <si>
    <t>在第3级选择本誓言时，你获得以下两种引导神力选项。
神圣武器:作为一个动作，你可以用引导神力特性向你正持握的一把武器注入正能量。
随后1分钟内，你使用该武器进行攻击检定时可以加上你的魅力调整值（至少为+1）。
该武器同时提供20尺半径的明亮光照，该范围外再延伸出20尺微光光照。
如果该武器之前不是魔法武器，则在效应持续其间该武器将视为魔法武器。
你可以在自己回合内执行任何其他动作时终止该效应，而终止效应的行为视为该动作的一部分。
当你不再持握或携带这把武器，或者当你陷入昏迷时，该效应终止。
驱散不洁:作为一个动作，你可以用引导神力特性亮出圣徽高喊祷言，以逐退不死生物和邪魔。
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该生物无路可走时将执行回避动作。</t>
  </si>
  <si>
    <t>猎物</t>
  </si>
  <si>
    <t>第3级时，你选择获得以下特性之一。
巨像屠夫：你强而有力的攻击可以击倒最强壮的对手。
当你用武器攻击命中敌人时，如果该敌人当前生命值低于其上限，则其额外受到1d8点伤害。
你每回合只能造成一次这种额外伤害。
巨人杀手：一个距离你5尺内的大型或更大体型生物对你发动攻击时，无论该次攻击是否命中，只要你能看见它就可以在该攻击结束后用一个反应对该生物发动攻击。
灭族者：进行武器攻击时，你可以用该武器对位于目标5尺内，且在你武器射程内的另一生物发动一次攻击。
你在每个自己的回合里只能造成一次这种额外攻击。</t>
  </si>
  <si>
    <t>冒充者</t>
  </si>
  <si>
    <t>第13级起，你获得准确模仿他人说话，写字和行为的能力。
你必须花费至少三小时来学习模仿目标的这三方面行为：听他说话，练习写字并观察其特殊习惯。
你伪装手段主要针对那些不细心观察的对象。
如果某个机警的生物觉得你有问题，则你此时为避免被识破而进行的所有魅力（欺瞒）检定都具有优势。</t>
  </si>
  <si>
    <t>转化法术</t>
  </si>
  <si>
    <t>当你施放一个能够造成以下列表中类型伤害的法术时，你可以使用1术法点将其改为列表中的另一种伤害类型：强酸、冷冻、火焰、闪电、毒素或雷鸣。</t>
  </si>
  <si>
    <t>远古奥秘之书</t>
  </si>
  <si>
    <t>现在你可以把魔法仪式抄录进你的“影之书”。你可以从任意职业法术列表中选择两个1环带仪式标签的法术（两法术可以属于不同法术列表）。所选法术将记录在“影之书”中，且不计入你的已知法术数量内。只要“影之书”在你的手中，你便可以施展所选的仪式法术。你不能通过仪式外的方式施展这些法术，除非你已经通过其他方式习得了这些法术。此外，你还可以把带有仪式描述的邪术师法术作为仪式法术进行施展。
冒险过程中，你还可以添加其他仪式法术到你的“影之书”中。当你发现一个这样的法术时，如果该法术的环阶等于或低于你邪术师等级的一半（向上取整），并且你能抽出时间抄录此法术，则你可以把此法术添加进“影之书”。抄录法术时其每环阶需要花费2小时时间和价值50 gp的珍稀墨水。
先决条件：书之魔契</t>
  </si>
  <si>
    <t>王车易位</t>
  </si>
  <si>
    <t>第6级起，你可以用你的动作传送至一处距离你30尺内，你能看见且未被占据的空间。
你也可以指定一处该距离内被一个小型或中型生物所占据的空间，如果该生物愿意，则你就可以与它交换位置。
你必须完成一次长休，或施展一个环阶不低于1环的咒法系法术才能再次使用该特性。</t>
  </si>
  <si>
    <t>奥能动力甲</t>
  </si>
  <si>
    <t>先决条件：14级奇械师
物品：一套盔甲（需同调）
穿戴者获得以下好处：
穿戴者的步行速度增加5尺。
每一只装甲附带的手套在没有持握任何物品时皆可被视为一件魔法近战武器。
穿戴者熟练于此手套，命中后会造成1d8力场伤害，此手套具有投掷属性，普通射程20尺，最大射程60尺。
投掷时，手套会脱离并飞向攻击目标，然后立即回到穿戴者身上并重新连接。
此盔甲除非你自愿，否则无法移除。
如果你有肢体缺失，装甲能够替换你所有缺失的肢体——手、臂、 脚、腿等，替换肢体的部分拥有和正常肢体一样的功能。</t>
  </si>
  <si>
    <t>精魄行者</t>
  </si>
  <si>
    <t>第10级起，你获得施展法术问道自然Commune with Nature的能力，但你只能以仪式的方式施展它。施展此法术时，你所选的图腾兽会以精魄形态现身并提供你想要得到的那些信息。</t>
  </si>
  <si>
    <t>在第3级选择勇气学院时，你获得中甲、盾牌和军用武器的熟练项。</t>
  </si>
  <si>
    <t>在第1级选择该领域时，你获得重甲的熟练项。</t>
  </si>
  <si>
    <t>结社形态</t>
  </si>
  <si>
    <t>结社的力量让你可以变成更危险的动物形态。
第2级起，你用荒野形态特性变身的野兽其挑战等级至高为1（无视表格“野兽形态”中的“最高CR栏”，但限制依然生效）。
第6级起，你所变身野兽的挑战等级最高等于你的德鲁伊等级除以3（向下取整）。</t>
  </si>
  <si>
    <t>灵巧步法</t>
  </si>
  <si>
    <t>你在移动时，可以消耗一粒卓越骰，并将其加入你的AC中，直至你完成移动。</t>
  </si>
  <si>
    <t>第15级起，你的气充盈身体让你不受衰老的减益，并且无法被魔法变老。
尽管你依然会寿终正寝，但再不需要饮食。</t>
  </si>
  <si>
    <t>奉献灵光</t>
  </si>
  <si>
    <t>第7级起，你与友方生物在你身边10尺内不会被魅惑。
提供该增益时你必须保持意识清醒。
第18级起，灵光的作用范围扩展至30尺。</t>
  </si>
  <si>
    <t>防守战术</t>
  </si>
  <si>
    <t>第7级时，你选择获得以下特性之一。
冲出重围：以你为目标的借机攻击具有劣势。
多重防御：你被生物的攻击命中时，你在本回合内对抗该敌人所有后续攻击的AC获得+4加值。
钢铁意志：你对抗恐慌的豁免具有优势。</t>
  </si>
  <si>
    <t>致命一击</t>
  </si>
  <si>
    <t>第17级起，你熟练掌握瞬杀的技巧。
你攻击命中一个被突袭的生物时，该生物必须进行一次体质豁免（DC8＋你的敏捷调整值＋你的熟练加值）。
豁免失败时，你将对其造成双倍伤害。</t>
  </si>
  <si>
    <t>法力变换</t>
  </si>
  <si>
    <t>从4级起，每当你通过提升术士等级获得属性值提升时，你可以进行以下一种行为，代表着你内在的法力流向了新的途径：
用另一个你能够选择的超魔法选项替换你当前的一个超魔法选项。
用另一个你能够从术士法术列表中选择的戏法替换你当前已知的一个术士戏法。</t>
  </si>
  <si>
    <t>卡瑟利之链</t>
  </si>
  <si>
    <t>你可以随意施展针对于天界生物、邪魔、或元素生物的怪物定身术hold monster，且无需消耗法术位和材料成分。你必须完成一次长休才能再次对同一生物使用此祈唤。
先决条件：第15级，链之魔契</t>
  </si>
  <si>
    <t>咒法专注</t>
  </si>
  <si>
    <t>第10级起，你在专注咒法系法术时，不会因承受伤害而打断专注。</t>
  </si>
  <si>
    <t>魔法力量盔甲</t>
  </si>
  <si>
    <t>物品：一套盔甲（需同调）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</si>
  <si>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图腾同调</t>
  </si>
  <si>
    <t xml:space="preserve">第14级时，你根据所选的图腾兽获得一项魔法能力。
你可以选择和之前相同的图腾，也可以另做选择。
• 熊：狂暴时，如果身处你周边5尺内的任何敌对生物发动攻击，而其目标不是你或另一个具有此特性的生物，则该攻击的攻击检定具有劣势。无法看到你或听到你声音的生物，以及无法陷入恐慌的生物对该特性免疫。
• 雕：狂暴时，你获得等同于你移动速度的飞行速度。此特性只能用于短途冲刺。如果回合结束时你仍在空中且毫无凭依，则你将坠落。
• 狼：狂暴时，如果你在自己回合内以近战武器攻击命中一名大型或更小体型的生物，则你可以用一个附赠动作顺势将其打击至倒地。
这些选项可以在你14级选择图腾动物时选择 。
• 鹿Elk。狂暴期间，在你试图穿过一个被大体型或更小的生物占据的空间时，你可以使用你的附赠动作迫使那个生物进行一次力量豁免（DC 8 + 你的力量属性调整值 + 你的熟练值）。若失败，生物被击倒并且受到1d12+你的力量调整值的钝击伤害。
• 虎Tiger。狂暴期间，如果你向着一个大体型或者更小的目标直线接近至少20尺并且向它进行了一次近战武器攻击，你可以用附赠动作对它进行一次额外的近战武器攻击。 </t>
  </si>
  <si>
    <t>战斗激励</t>
  </si>
  <si>
    <t>第3级起，你学会里如何激励他人作战。从你身上获得诗人激励的生物投掷武器伤害掷骰时，可以使用该激励骰并将其骰值加入本次伤害掷骰中。
另外，从你身上获得诗人激励的生物被攻击时，该生物可以用它的反应使用该激励骰，并将掷骰结果加入到它对抗该次攻击的AC中，该特性可以使用于攻击检定揭示后，但必须在命中与否宣布之前使用。</t>
  </si>
  <si>
    <t>生命门徒</t>
  </si>
  <si>
    <t>第1级起，你的治疗法术更加有效。
当你使用1环或更高环阶法术恢复生物生命值时，你的目标额外恢复2＋法术环阶数值的生命值。</t>
  </si>
  <si>
    <t>原初打击</t>
  </si>
  <si>
    <t>第6级起，你以野兽形态攻击时，如果目标对非魔法攻击或伤害具有免疫或抗性，则你的攻击此时视为魔法攻击。</t>
  </si>
  <si>
    <t>诡诈攻击</t>
  </si>
  <si>
    <t>你可以在自己回合内消耗一粒卓越骰，以此指定你身边5尺范围内一个生物为目标，并使用附赠动作对其虚晃一招。
你在本回合内对该生物发动的下一次攻击检定具有优势。如果该攻击命中，则将消耗的卓越骰加在此次攻击的伤害掷骰中。</t>
  </si>
  <si>
    <t>空灵体</t>
  </si>
  <si>
    <t>第18级起，你可以消耗4点气并使用动作隐形1分钟。
此时，你对力场伤害之外的所有伤害都具有抗性。
另外，你可以消耗8点气施展法术星界投影，以该形式施展的法术不需要材料成分，且无法捎带其他生物与你同行。</t>
  </si>
  <si>
    <t>纯净之魂</t>
  </si>
  <si>
    <t>第15级起，你获得永远保持法术防护善恶效应的能力。</t>
  </si>
  <si>
    <t>多重攻击</t>
  </si>
  <si>
    <t>第11级时，你选择获得以下特性之一。
箭雨：你使用你的动作指定你的远程武器射程内你能看见的某点，并分别对该点周围10尺范围内任意数量的生物发动一次远程攻击。
发动该特性时，你必须有足够的弹药用以攻击敌人，且要为每个目标进行独立的攻击检定。
剑刃风暴：你使用你的动作指定你身边5尺内任意数量的生物，并分别对其发动一次近战攻击，每个受此攻击的目标必须进行独立的攻击检定。</t>
  </si>
  <si>
    <t>第3级起，你获得施法能力。参考第10章的施法规则，以及第11章的法师法术列表。</t>
  </si>
  <si>
    <t>魔鬼视界</t>
  </si>
  <si>
    <t>你在黑暗中拥有120尺的可视距离，而无论其属于魔法黑暗还是非魔法黑暗。</t>
  </si>
  <si>
    <t>强韧召唤</t>
  </si>
  <si>
    <t>第14级起，你用咒法系法术所召唤或创造的生物获得30点临时生命值。</t>
  </si>
  <si>
    <t>折返之靴</t>
  </si>
  <si>
    <t>先决条件：6级奇械师
物品：一双靴子（需同调）
穿着这双靴子时，那个生物能以一个附赠动作传送到一个距离该生物15尺范围内的可以看到的未占据空间中。不过，该生物必须在本回合内的某个时间点里曾占据过这个空间。</t>
  </si>
  <si>
    <t>神性之怒</t>
  </si>
  <si>
    <t>从你在3级选择此道途开始，你可以引导神性怒火，将其注入你的武器打击中。
狂暴期间，你在每个自己回合中用武器攻击命中的第一个生物会受到等同于1d6+你野蛮人等级的一半的额外伤害。此伤害的类型为黯蚀或光耀；你在你得到此特性时选择它的类型。</t>
  </si>
  <si>
    <t>第6级起，你在自己回合内执行攻击动作时可以攻击两次而非一次。</t>
  </si>
  <si>
    <t>引导神力：维持生命</t>
  </si>
  <si>
    <t>第2级起，你可以用引导神力特性来恢复严重的伤害。
你用一个动作展示圣徽，引导治疗能量来恢复等于你牧师等级五倍的生命值。你指定身边30尺内的任意生物作为该特性的目标，再为其分配从中获得的治疗能量。
该特性不能将目标恢复到其生命值上限的一半以上。而且你不能对不死生物或构装生物使用该特性。</t>
  </si>
  <si>
    <t>元素荒野形态</t>
  </si>
  <si>
    <t>第10级起，你可以花费两次荒野形态次数以变成气元素，土元素，火元素或者水元素。</t>
  </si>
  <si>
    <t>挑衅攻击</t>
  </si>
  <si>
    <t>你以武器攻击命中敌人时，可以消耗一粒卓越骰以尝试挑衅该目标。
使用此战技时，你将所消耗的卓越骰加在此次攻击的伤害掷骰中，并迫使目标进行一次感知豁免。豁免失败者攻击除你之外的生物时，其进行的攻击检定具有劣势，直至你的下一回合结束。</t>
  </si>
  <si>
    <t>超凡入圣</t>
  </si>
  <si>
    <t>第20级起，若你骰先攻时身上未有储备的气，则你获得4点气。</t>
  </si>
  <si>
    <t>至圣光轮</t>
  </si>
  <si>
    <t>第20级时，你可以用一个动作生成一个散发阳光的灵光。
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</si>
  <si>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高效猎人防术</t>
  </si>
  <si>
    <t>第15级时，你选择获得以下特性之一。
反射闪避：你可以灵巧躲过某些特定的区域效应，比如红龙的火焰吐息或是法术闪电束。
你在成为某一范围效应影响对象时，若该效应允许你通过成功的敏捷豁免来使伤害减半，则你在该豁免成功时不受伤害，而豁免失败时只受一半伤害。
逆流而上：当敌人对你的近战攻击未命中时，你可以用反应迫使敌人向你所指定的生物（除攻击者外）重新发动攻击。
直觉闪避：当一个你能看见的敌人攻击命中你时，你可以用反应让此次攻击的伤害减半。</t>
  </si>
  <si>
    <t>你从法师法术列表中选择三个戏法作为已知法术（包括戏法法师之手和另外两个法师法术列表中的自选戏法）。
第10级时，你再获得额外一个法师戏法。</t>
  </si>
  <si>
    <t>魔法指引</t>
  </si>
  <si>
    <t>从5级起，你能够挖掘内在的魔力源泉，从失败中召唤成功。
当你进行一次属性检定并失败时，你可以使用1术法点重投之。
你必须使用重投的结果，此举可能使该检定改为成功。</t>
  </si>
  <si>
    <t>恐惧箴言</t>
  </si>
  <si>
    <t>你可以消耗你的邪术师法术位施展一个困惑术confusion。你必须完成一次长休才能再次施展该法术。
先决条件：第7级</t>
  </si>
  <si>
    <t>预言学者</t>
  </si>
  <si>
    <t>从第2级你选择该学派起，你向法术书中抄写预言系法术的时间和金钱花费减半。</t>
  </si>
  <si>
    <t>增强奥术法器</t>
  </si>
  <si>
    <t>物品：一根权杖、法杖或是魔杖（需同调）
当持用此物品时，持有者的法术攻击检定获得+1加值，同时在进行法术法术攻击时无视半身掩护。
当你拥有10个奇械师等级时，该加值变成+2。</t>
  </si>
  <si>
    <t>神之勇者</t>
  </si>
  <si>
    <t>第3级起，你的灵魂被无尽的战斗所烙印。若一个法术只具有让你起死回生（而非令你变为不死生物）的效果，例如法术 死者复活raise dead ，则施法者在对你施展这一法术时不需要材料成分。</t>
  </si>
  <si>
    <t>战斗魔法</t>
  </si>
  <si>
    <t>第14级起，你可以自如地同时使用音乐魔法和武器。
每当用动作施展一个诗人法术时，你同时还可以用附赠动作发动一次武器攻击。</t>
  </si>
  <si>
    <t>神佑医者</t>
  </si>
  <si>
    <t>第6级起，你施展的治疗法术也会治疗你自身。
你对其他生物施展1环或更高环阶法术法术时，可对自身恢复2＋法术环阶数值的生命值。</t>
  </si>
  <si>
    <t>千面相</t>
  </si>
  <si>
    <t>第14级起，你学会了用魔法精确改变自身外形的方法。
你可以随意施展法术变身术。</t>
  </si>
  <si>
    <t>突刺攻击</t>
  </si>
  <si>
    <t>你在自己回合内发动近战武器攻击时，可以消耗一粒卓越骰并令该攻击的触及范围增加５尺。如果该攻击命中，则将所消耗的卓越骰加在此次攻击的伤害掷骰中。</t>
  </si>
  <si>
    <t>散打技巧</t>
  </si>
  <si>
    <t>第3级选择散打宗后，你可以在击中敌人时操作其体内的气。
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t>
  </si>
  <si>
    <t>古贤圣誓法术</t>
  </si>
  <si>
    <t>圣武士等级——法术
3rd——诱捕打击、动物交谈术
5th——月华之光、迷雾步
9th——植物滋长、防护能量伤害
13th——冰风暴、石肤术
17th——问道自然、树跃术</t>
  </si>
  <si>
    <t>游侠伴侣</t>
  </si>
  <si>
    <t>第3级时，你获得一个野兽伴侣陪你一起冒险，这名训练有素的伙伴能与你合作无间地战斗。
指定一个不大于中型体型，且挑战等级为1/4或更低的野兽（其属性数据以附录D中的猎鹰、獒犬和黑豹为例）。
将你的熟练加值加到该野兽的AC，攻击检定，伤害掷骰以及其所有具有熟练项的豁免和技能检定中。
其生命值上限选用其原上限，或你游侠等级的四倍两者中较高者。
跟其他别的生物一样，该野兽也可在短休时使用生命骰。
动物伴侣会尽可能执行你的命令。它会在轮到你的先攻时行动。
你在自己回合内可以用声音指令指示该野兽往何处移动（无需执行其他动作）。
你可以用你的动作以声音指令指示它执行攻击，疾走，撤离或协助动作。
若你无法发出指令，该野兽将自主执行回避动作。
如果你具有额外攻击特性，则你可以在命令该野兽执行攻击动作的同时自己发动一次武器攻击。
若你陷入失能或并不在场，该野兽将自主活动，并集中致力于保护你和它自己。
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
它被借机攻击时，不需等待你的命令就可以执行其反应。</t>
  </si>
  <si>
    <t>“诡术师施法能力”表中列出了你用以施展你法师法术的1环及更高环阶法术位数量。
施展这些法术时，你必须同时消耗一个不低于该法术环阶的法术位。
而已消耗的法术位可以通过完成以此长休进行恢复。
例如，若你已知1环法术魅惑人类，并且有一枚可用的1环法术位和一枚可用的2环法术位，则你可以用两者之一施展魅惑人类。</t>
  </si>
  <si>
    <t>术法复苏</t>
  </si>
  <si>
    <t>第20级时，你每完成一次短休，可以恢复4术法点。</t>
  </si>
  <si>
    <t>魔能视界</t>
  </si>
  <si>
    <t>你可以随意施展法术侦测魔法detect magic，且无需消耗法术位。</t>
  </si>
  <si>
    <t>预兆</t>
  </si>
  <si>
    <t>从第2级你选择该学派起，预知未来的片段会时常在你意识中闪过。
你在每次完成长休时投两次d20并记下两组骰值。
此后，你可以用这两组预知骰骰值中的任意一个，替代任何一次由你，或者由你能看见的某个生物所进行的攻击检定，豁免检定或属性检定。
你必须在相关检定开始前决定是否使用预知骰，且你每回合只能使用一次预知骰。
每个预知骰只能使用一次。
你完成一次长休后，将失去所有未使用的预知骰。</t>
  </si>
  <si>
    <t>增强防御</t>
  </si>
  <si>
    <t>物品：一套盔甲或一面盾牌
穿着该盔甲或挥舞该盾牌的生物在AC上获得+1加值。
当你拥有10个奇械师等级时，该加值变成+2。</t>
  </si>
  <si>
    <t>专心炽志</t>
  </si>
  <si>
    <t>第6级起，驱使你愤怒的神力也能庇护你免遭干扰。
狂暴期间，若你豁免检定失败，你可以重新投掷该豁免检定，但你必须接受重骰后的结果。你每次狂暴中只能使用此能力一次。</t>
  </si>
  <si>
    <t>激励光环</t>
  </si>
  <si>
    <t>当你在3级加入迷惑学院起，你获得将妖精的魔法浸入歌曲的力量，为你的盟友们带来活力与速度。
以一个附赠动作，你可以消耗一次吟游激励的次数，让自己得到华美而出尘的外貌。此时，选择你周围60尺内的一定数量能看见你且你也能看见的生物，其数量至多等同于你的魅力调整值个（至少1个）。每个生物都会获得5点临时生命值。而当一个生物获得这些临时生命值时，它可以用其反应移动至多等同于其速度的距离，此次移动不会引发借机攻击。
在你达到此职业的特定等级后，你能给予它们更多的临时生命值，在5级后提高到8点，10级后11点，15级后14点。</t>
  </si>
  <si>
    <t>神圣打击</t>
  </si>
  <si>
    <t>第8级起，你可以使你的武器充满神圣能量。你在每个自己回合里有一次机会，可以在用武器攻击命中某生物时，使该攻击额外造成1d8的光耀伤害。14级时，该伤害提升到2d8。</t>
  </si>
  <si>
    <t>仲夏庭院的芬馥</t>
  </si>
  <si>
    <t>2级起，你将被灌注来自仲夏庭院的祝福，由此成为缓解旅者乏顿和伤者痛苦的圣洗池。
你得到等同于德鲁伊等级每d6作为代表的妖精能量池。
以一个附赠动作，你可以选择一名在你120尺内的可见盟友，并且花费最多等于你德鲁伊等级一半的d6骰。
投掷那些骰子并把结果加在一起。目标恢复等于那个总值的生命值。
目标同时也得到等同于花费骰子数目的临时生命值。
在你结束一次长休之后，你恢复所有花费掉的骰子。</t>
  </si>
  <si>
    <t>灵动攻击</t>
  </si>
  <si>
    <t>你以武器攻击命中敌人时，可以消耗一粒卓越骰以让盟友移动到更有利的位置。
使用此战技时，你将所消耗的卓越骰加在此次攻击的伤害掷骰中，并指定一个能看见你或听到你声音的盟友。该盟友可以立即用其反应移动至多等于其速度一半的距离。本次移动不会引发本次所攻击目标的借机攻击。</t>
  </si>
  <si>
    <t>混元体</t>
  </si>
  <si>
    <t>第6级起，你获得自疗的能力。
你可以使用一个动作获得等同于三倍武僧职业等级的生命值。
你必须完成一次长休才能再次使用该特性。</t>
  </si>
  <si>
    <t>引导神力-古贤</t>
  </si>
  <si>
    <t>在第3级选择本誓言时，你获得以下两种引导神力选项。
自然之怒：你可以用引导神力特性唤起原初之力来诱捕敌人。
作为一个动作，你可以让特殊的藤蔓生长并缠绕一个距离你10尺内，你能看见的生物。
该生物必须进行一次力量或敏捷豁免（由其选择），豁免失败者将陷入束缚状态。
此后，每当该生物结束其回合时，都可以再进行一次该豁免。
一旦豁免成功，则该生物挣脱束缚，藤蔓也就此消失。
驱散无信者：你可以用引导神力特性发出远古的圣言，使听到圣言的精类生物和邪魔感到痛苦。
作为一个动作，你亮出圣徽，迫使身边30尺范围内能够听到你声音的所有精类生物或邪魔都进行一次感知豁免，豁免失败者将受到驱散，其效应持续1分钟或直至其受到任何伤害。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该生物无路可走时会执行回避动作。
如果被驱散生物的真实外形被幻术、变形、或其他效应掩盖，那么在被驱散后，它将显露出原形。</t>
  </si>
  <si>
    <t>原初伴侣</t>
  </si>
  <si>
    <t>3级驯兽师特性，替换游侠伴侣特性
你魔法性的召唤出一只原初野兽，其力量来自于与你与自然的联系。这只野兽对你和你的伙伴态度友善，并会听从你的命令。你从大地野兽，海洋野兽和天空野兽的数据中为它选择其一作为它的数据，它数据表中许多地方将会用到你的熟练加值（PB）。且你决定原初野兽是何种动物，选择适合其数据的外形。无论你选择什么样的动物，这只野兽都带有原始的印记，暗示着其神秘的起源。
在战斗中，原初野兽会在你的回合中行动。它能自主的移动或使用反应，但除非你在你的回合中以一个附赠动作命令它执行其他动作，它只会执行回避动作。命令的动作可以是其数据中列出的动作或是之外的其他动作。作为另一种命令方式，你也能在使用自己的攻击动作时，牺牲其中一次自己的攻击来命令野兽执行攻击动作。如果你陷入失能，野兽将会自主行动，而非仅使用回避动作。
如果野兽死亡不超过一小时，你能使用你的动作触碰它，并消耗一个一环或更高的法术位使他复活。它会在一分钟后死而复生并获得所有生命值。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大地野兽Beast of the Land
中型野兽 
--------------------------------------------------------------------------------
AC： 13+PB（天生护甲）
HP：5+你游侠等级的五倍（野兽拥有与你游侠等级相同数量的生命骰[D8]） 
速度：40尺，攀爬40尺 
--------------------------------------------------------------------------------
力量  敏捷  体质  智力  感知  魅力 
14（+2）  14（+2）  15（+2）  8（-1）  14（+2）  11（+0） 
--------------------------------------------------------------------------------
感官：黑暗视觉60尺，被动察觉12
语言：理解你说的语言
挑战等级：—— 
熟练加值（PB）：等于你的熟练加值。 
--------------------------------------------------------------------------------
冲锋Charge。当大地野兽向一个目标直线移动了至少20尺，然后在同一回合以挥打攻击命中目标时。目标会额外受到1d6挥砍伤害。如果目标是生物，它必须成功通过对抗你法术豁免DC的力量豁免检定否则应击倒地。
原初联结Primal Bond。你能将你的熟练加值加到野兽进行的一切属性检定和豁免检定上。 
--------------------------------------------------------------------------------
动作Actions
挥打Maul。近战武器攻击：攻击加值等同于你的法术攻击加值，触及5尺，单个目标。命中：1d8+2+PB点挥砍伤害。 
--------------------------------------------------------------------------------
海洋野兽Beast of the Sea
中型野兽 
--------------------------------------------------------------------------------
AC： 13+PB（天生护甲）
HP：5+你游侠等级的五倍（野兽拥有与你游侠等级相同数量的生命骰[D8]） 
速度：5尺，游泳60尺 
--------------------------------------------------------------------------------
力量  敏捷  体质  智力  感知  魅力 
14（+2）  14（+2）  15（+2）  8（-1）  14（+2）  11（+0） 
--------------------------------------------------------------------------------
感官：黑暗视觉60尺，被动察觉12
语言：理解你说的语言
挑战等级：—— 
熟练加值（PB）：等于你的熟练加值。 
--------------------------------------------------------------------------------
水陆两栖Amphibious。野兽可以在空气和水中呼吸。
原初联结Primal Bond。你能将你的熟练加值加到野兽进行的一切属性检定和豁免检定上。 
--------------------------------------------------------------------------------
 动作Actions
攫击Binding Srtike。近战武器攻击：攻击加值等同于你的法术攻击加值，触及5尺，单个目标。命中：1d6+2+PB点穿刺或1d6+2+PB点钝击伤害（由你选择），并且目标被擒抱（逃脱DC等于你的法术豁免DC）。 
--------------------------------------------------------------------------------
天空野兽Beast of the Sky
小型野兽 
--------------------------------------------------------------------------------
AC： 13+PB（天生护甲）
HP：4+你游侠等级的四倍（野兽拥有与你游侠等级相同数量的生命骰[D6]） 
速度：10尺，飞行60尺 
--------------------------------------------------------------------------------
力量  敏捷  体质  智力  感知  魅力 
6（-2）  16（+3）  13（+1）  8（-1）  14（+2）  11（+0） 
--------------------------------------------------------------------------------
感官：黑暗视觉60尺，被动察觉12
语言：理解你说的语言
挑战等级：—— 
熟练加值（PB）：等于你的熟练加值。 
--------------------------------------------------------------------------------
飞掠Flyby。野兽以飞行离开敌人的触及范围时不会引发对方的借机攻击。
原初联结Primal Bond。你能将你的熟练加值加到野兽进行的一切属性检定和豁免检定上。 
--------------------------------------------------------------------------------
动作Actions
撕咬Shred。近战武器攻击：攻击加值等同于你的法术攻击加值，触及5尺，单个目标。命中：1d4+3+PB点挥砍伤害。 
--------------------------------------------------------------------------------</t>
  </si>
  <si>
    <t>你习得三个自选的1环法师法术，其中两个必须从附魔系和幻术系中选择。
表格“诡术师施法能力”中“已知法术”一栏记录了你获得更多已知法术时的相应等级。
你只能选择附魔系或幻术系法术，且所获得法术的环阶不能好过你所拥有的最高法术位环阶。
例如，如果你在本职业打到第7级，则可以学习一个新的1环法术或2环法术。
你在第8，第14和第20级可学习来自任何学派的法术。
你每次提升本职业等级时，可以将一个已知法术替换为另一个法师法术。
这个新法术的环阶不能超过你所拥有的最高法术位打到环阶，且必须从附魔系或幻术系中选择（除非你替换的是第3，第8，第14或第20级习得的法术）。</t>
  </si>
  <si>
    <t>巨龙先祖</t>
  </si>
  <si>
    <t>第1级时，你选择一种巨龙作为你的先祖。
对应的伤害类型将在随后获得的特性中用到。
你可以说、读、写龙语。
此外，你与巨龙互动时进行的魅力检定可以使用熟练加值时，可以加上双倍的加值。</t>
  </si>
  <si>
    <t>魔能长枪</t>
  </si>
  <si>
    <t>施展魔能爆eldritch blast时，射程变为300尺。
先决条件：习得戏法 魔能爆</t>
  </si>
  <si>
    <t>预言专家</t>
  </si>
  <si>
    <t>第6级起，你对施展预言法术的技巧驾轻就熟，几乎不用使什么力气。
你用法术位施展一个环阶不低于2环的预言系法术时，可以恢复一个已耗用的法术位。
所恢复的法术位环阶必须比你正施展的预言系法术所用的法术位低，且不能高于5环。</t>
  </si>
  <si>
    <t>增强武器</t>
  </si>
  <si>
    <t>物品：一把简易或军用武器
该魔法武器在攻击和伤害检定中具有+1加值。
当你拥有10个奇械师等级时，该加值变成+2。</t>
  </si>
  <si>
    <t>狂热威仪</t>
  </si>
  <si>
    <t>第10级起，你学会了引导神力，让其他人也被你的狂热所感染。以一个附赠动作，你愤怒的怒吼并释放出一道蕴含神圣能量的战吼。选择你周围60尺范围内至多10个能听到你吼叫声的其他生物，直到你的下个回合开始前，他们进行的攻击检定与豁免检定获得优势。
一旦你使用了此特性，直到你完成了一次长休为止你都不能再次使用它。</t>
  </si>
  <si>
    <t>醉人表演</t>
  </si>
  <si>
    <t>第3级起，你能将诱惑力和妖精的魔法充入你的表演。
若你进行了至少1分钟的表演，你就可以借由歌唱、吟诗、或舞蹈的方式来让你的观众们感受到奇妙的力量。在这次表演的结束时，选择你周围60尺范围内一定数量的、完整观看并聆听了你的表演的类人生物，可以选择的数量至多等同于你的魅力调整值个（至少1个）。每个目标必须通过一次对抗你的法术豁免DC的感知豁免，若豁免失败则其将被你魅惑。当被你以此法魅惑时，目标视你为偶像，他会热情的和任何和它交谈的人谈论你，反对任何对抗你的人，它会避免暴力，除非他已经站在你这边加入了战斗。每个目标身上的效应都将持续1小时。当受影响生物受到任何伤害、你攻击了它、或它目睹你对任何它的盟友进行攻击或造成伤害时会提前结束。
若一个目标对抗此效应的豁免成功，该目标不会察觉到你曾试图魅惑他的行为。
一旦你使用了此特性，直到你完成一次短休或长休前你都不能再次使用它。</t>
  </si>
  <si>
    <t>极效治疗</t>
  </si>
  <si>
    <t>第17级起，当你需要用一个法术来掷一粒或多粒骰子计算你所恢复的生命值时，所有骰子将取其最高值。例如，法术为某一生物恢复2d6生命值，则其结果直接取12。</t>
  </si>
  <si>
    <t>月光与阴影的炉心</t>
  </si>
  <si>
    <t>6级起，无论你在何处设立营灶，那都是的你家园。
在进行一次短休息或长休息时，你可以祈求薄暮庭院的幽影之力来保护你的营地不被外来者侵扰。
在休息开始时，你接触空间中的一点，以那一点为中心一个隐形的、半径30尺的球体魔法般地出现。
全掩护会阻断这个球体。
在这一领域内你和你的盟友在所有感知（观察）检定和敏捷（隐匿）检定中得到+5加值，并且由任何明火放射的光亮（营火，火把以及类似之物）从领域外是不可见的。
这些效果持续到休息结束或你离开这个领域。</t>
  </si>
  <si>
    <t>恐吓攻击</t>
  </si>
  <si>
    <t>你以武器攻击命中敌人时，可消耗一粒卓越骰以尝试恐吓该目标。
使用此战技时，你将所消耗的卓越骰加在此次攻击的伤害掷骰中，并迫使目标进行一次感知豁免。豁免失败者将陷入对你恐慌的状态，直至你下一回合结束。</t>
  </si>
  <si>
    <t>宁神境</t>
  </si>
  <si>
    <t>第11级起，你可以进入一种特殊的冥想状态，使浑身环绕着和平的灵光。
完成长休后，你将获得法术庇护术的效应，其效应持续至你再次开始长休之前（该法术效应可以如常被提前终止）。
该法术效应的豁免DC等于8＋你的感知调整值＋你的熟练加值。</t>
  </si>
  <si>
    <t>守御灵光</t>
  </si>
  <si>
    <t>第7级起，强大的远古魔法眷顾着你，以至于在你身边形成了一道神秘的结界。
你和距离你10尺以内的友善生物获得对法术伤害的抗性。
第18级起，灵光的范围增加至30尺。</t>
  </si>
  <si>
    <t>特殊训练</t>
  </si>
  <si>
    <t>第7级起，如果你的野兽伴侣在你的回合内未曾发动攻击，则你可以在本回合用一个附赠动作命令该野兽在其回合内执行“疾走”“撤离”或“协助”动作。
此外，该野兽的攻击作用于非魔法攻击与伤害的免疫与抗性时视为魔法。</t>
  </si>
  <si>
    <t>你通过研究和记忆学习魔法，因此智力是你施展法师法术的关键属性。
每当你的法术需要施法关键属性时均指向你的智力值。
而你的法师法术的豁免DC和攻击检定，则使用你的智力调整值
法术豁免DC＝8＋你的熟练加值＋你的智力调整值
法术攻击调整值＝你的熟练加值＋你的智力调整值</t>
  </si>
  <si>
    <t>龙族体魄</t>
  </si>
  <si>
    <t>魔法在你的体内流动，并使你显露出你巨龙先祖的部分身体特质。
第1级时，你的生命值上限提升1点，此后每提升一个术士等级，都将再次提升1点。
此外，你部分皮肤覆盖着龙鳞样式的柔鳞。
未着装护甲时，你的AC等于13＋你的敏捷调整值。</t>
  </si>
  <si>
    <t>符文守护者之眼</t>
  </si>
  <si>
    <t>你可以读懂任何文字。</t>
  </si>
  <si>
    <t>天眼通</t>
  </si>
  <si>
    <t>第10级起，你可以用你的动作增强你的感知能力。
使用此特性时，你选择一下增益其中之一。
其效应将持续至你陷入失能状态，或直至你开始一次短休或长休。
你必须完成一次休息才能再次使用该特性。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</si>
  <si>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警觉之盔</t>
  </si>
  <si>
    <t>先决条件：10级奇械师
物品：一件头盔（需同调）
穿戴此头盔时，那个生物在先攻检定上具有优势。此外，穿戴者只要未处于 失能incapacitated 状态，就无法被突袭。</t>
  </si>
  <si>
    <t>怒不畏死</t>
  </si>
  <si>
    <t>从14级开始，驱使你狂暴的神力允许你忽视致命的打击。
狂暴期间，具有0点生命值并不会使你陷入 昏迷Unconscious 。不过你仍然需要进行死亡豁免，你在0生命值下受到伤害时依旧计算豁免失败次数。然而，若你因为未通过死亡豁免检定而即将死去时，只要你仍处于狂暴状态，你将拒绝死亡。而如果你的狂暴结束后你仍保持0点生命值，那么你将死亡。</t>
  </si>
  <si>
    <t>统御光环</t>
  </si>
  <si>
    <t>第6级起，你得到了用精类魔法覆盖自己的能力，令他人化为服从你指令的傀儡。以一个附赠动作，你施展法术 命令术command ，无需消耗法术位。且同时你获得无上的美貌，持续1分钟，如果你的专注结束（如同你专注于一个法术），它也会提前结束。在这段时间内，你在每个你的回合中都能再用一个附赠动作施展法术 命令术command ，且同样无需消耗法术位。
以此施展的 命令术Command 中，任何被你 魅惑Charmed 的生物将自动豁免失败。
一旦你使用了此特性，直到你完成一次长休前你都不能再次使用它。</t>
  </si>
  <si>
    <t>光明领域法术</t>
  </si>
  <si>
    <t>牧师等级——法术
1st——燃烧之手、妖火
3rd——炽焰法球、灼热射线
5th——昼明术、火球术
7th——信实守卫、火墙术
9th——焰击术、探知</t>
  </si>
  <si>
    <t>隐匿通途</t>
  </si>
  <si>
    <t>10级起，你可以使用那些被隐藏起来的、无法预测的魔法道路，像妖精一样在眨眼之间穿越空间。
在你的回合，你可以以一个附赠动作传送到60尺内一处未被占据的可见区域。
或者，你也可以用你的动作来接触一个自愿生物将它传送至30尺内一处未被占据的你可见的空间。
你可以使用这个能力的次数等同于你的感知调整值（至少1次），当你结束一次长休之后，你恢复所有使用次数。</t>
  </si>
  <si>
    <t>格挡</t>
  </si>
  <si>
    <t>其他生物的近战攻击对你造成伤害时，你可以用反应消耗一粒卓越骰以减少伤害。减少的数值为卓越骰骰值＋你的敏捷调整值。</t>
  </si>
  <si>
    <t>渗透劲</t>
  </si>
  <si>
    <t>第17级起，你可以将暗劲击入他人体内。
你的徒手打击命中目标生物时，可以消耗3点气将一股致命的劲力送入敌人体内。
劲力的持续日数等于你的武僧等级，且在你用动作终止劲力之前它不产生任何减益。
若要终止劲力，你和目标必须在同一个位面。
而你使用动作终止劲力后，目标必须进行一次体质豁免，豁免失败则其生命值降为0，豁免成功则目标受到10d10的暗蚀伤害。
同一时间只能有一个生物受你渗透劲特性影响。
你也可以选择不造成任何伤害的终止渗透劲，且不需要使用动作。</t>
  </si>
  <si>
    <t>不灭哨卫</t>
  </si>
  <si>
    <t>第15级起，你生命值降至0点，但尚未被直接杀死时，可以选择让你的生命值降到1点而不是0点。
你必须完成一次长休后才能再次使用该能力。
此外，你不受任何衰老减益。
也不会因为魔法效应而衰老。</t>
  </si>
  <si>
    <t>兽性狂怒</t>
  </si>
  <si>
    <t>第11级起，当你命令野兽伴侣执行攻击动作时，它可以发动两次攻击。
或者，若其拥有“多重攻击”动作项，则它也可以执行该动作项。</t>
  </si>
  <si>
    <t>法师之手·诈</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</si>
  <si>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</si>
  <si>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元素亲和</t>
  </si>
  <si>
    <t>第6级起，当你施展伤害类型与你巨龙先祖相对应的法术时，可以将你的魅力调整值附加到该法术其中一次伤害掷骰中。
此时你还可以用1术法点来获得持续1小时的相应伤害抗性。</t>
  </si>
  <si>
    <t>邪魔活力</t>
  </si>
  <si>
    <t xml:space="preserve"> 你可以随意施展1环法术虚假生命false life，且无需消耗法术位和材料成分。</t>
  </si>
  <si>
    <t>高等预兆</t>
  </si>
  <si>
    <t>第14级起，你梦中的景象更为清晰精确的在你意识中描绘出了将要发生的一切。
你的预兆特性获得三个预知骰，而不再是两个。</t>
  </si>
  <si>
    <t>人工生命仆从</t>
  </si>
  <si>
    <t>物品：一颗价值至少100gp的宝石或水晶
你习得了如何魔法性的创造一个为你服务的特殊人工生命。
你在注法中使用的物品将变成人工生命的心脏，而它的身体会立即围绕心脏成型。
你能够决定人工生命的外观。
有些奇械师喜欢看上去像机械的鸟，也有些喜欢长翅膀的小瓶或是拥有生命的小坩埚。
人工生命对你和你的同伴都十分友善，且服从你的命令。
人工生命的游戏数据见下，它的数据中某几项会适用你的熟练加值。
在战斗中，人工生命使用你的先攻，并且在你的回合后立即行动。
它能自由移动和执行反应，但除非你以一个附赠动作命令它进行数据中列出的动作或其他动作，否则它在回合中只能进行闪避动作。
如果你失能，人工生命可以进行任何动作，而不仅仅是闪避。
如果你对人工生命施放修复术，它将恢复2d6生命值。
如果你或人工生命死亡，它将消失，只有心脏会留在它之前占据的地方。</t>
  </si>
  <si>
    <t>先祖护卫</t>
  </si>
  <si>
    <t>从你在3级时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</si>
  <si>
    <t>绝对统御</t>
  </si>
  <si>
    <t>第14级起，你的外貌变得超凡脱俗，这让你看上去更加漂亮与骇人。
此外，以一个附赠动作，你展现出魔法性的完美仪度，持续1分钟，如果你陷入 失能Incapacitated，它也将提前结束。持续时间内，任何生物在每回合中首次试图对你进行攻击时都必须通过一次对抗你的法术豁免DC的魅力豁免。豁免失败时，该生物在这个回合内将无法攻击你，且必须要为本次攻击选定一个新的目标，或放弃攻击。豁免检定成功时，该生物能够正常攻击你，但它在下个你的回合中，对抗你的法术所做的任何豁免检定都将具有劣势。
一旦你使用了此特性，直到你完成一次短休或长休前你都不能再次使用它。</t>
  </si>
  <si>
    <t>在你第1级选择该领域时，获得戏法光亮术，如果你已经学会则不会重新获得。</t>
  </si>
  <si>
    <t>梦境行者</t>
  </si>
  <si>
    <t>14级起，妖精荒野的魔力让你能物理性或精神性地穿越梦境空间。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</si>
  <si>
    <t>精准攻击</t>
  </si>
  <si>
    <t>你进行武器攻击时，可以消耗一粒卓越骰以将其结果加在本次攻击的攻击检定中。你可以在进行攻击检定之前或之后使用此战技，不过必须在相应攻击效果生效之前作决定。</t>
  </si>
  <si>
    <t>暗影技艺</t>
  </si>
  <si>
    <t>第3级你选择本宗派起，你可复制某些特定法术的效应。
你可用一个动作消耗2点气以施放黑暗术，黑暗视觉，行动无踪或沉默术，且无需材料成分。
此外，若你仍未习得戏法次级幻影，则你将获得该戏法。</t>
  </si>
  <si>
    <t>上古斗士</t>
  </si>
  <si>
    <t>第20级起，你可以化作远古自然力量的化身，并获得一项你自己决定的外貌特征。
例如，你的皮肤可能变成绿色，或者长出树皮般的纹理。
你的头发也许会变得像树叶或青苔一般，又或者你长出了鹿角或者狮鬃。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
你必须完成一次长休后才能再次使用该特性。</t>
  </si>
  <si>
    <t>法术共享</t>
  </si>
  <si>
    <t>第15级起，当你施展一个目标为自身的法术时，如果你的野兽伴侣处于你身边30尺范围内，则该法术效应同时也作用于你的野兽伴侣。</t>
  </si>
  <si>
    <t>诡术伏击</t>
  </si>
  <si>
    <t>第9级起，如果你在针对某个生物躲藏的状态下对其施法，则该生物在本回合里对抗该法术所进行的豁免检定具有劣势。</t>
  </si>
  <si>
    <t>龙翼</t>
  </si>
  <si>
    <t>第14级时，你获得一对可以从背后张开的龙翼，并获得等于你当前速度的飞行速度。
你可以在自己回合内用一个附赠动作生成龙翼。
龙翼持续存在至你在自己回合内用一个附赠动作将其解散。
你不能在着装护甲时张开龙翼（除非该护甲经过特殊的设计）。
而当你显现龙翼时，未经过特殊设计的衣服可能会毁坏。</t>
  </si>
  <si>
    <t>共视感官</t>
  </si>
  <si>
    <t>你用动作触碰一个自愿的类人生物，并与其建立起感官的连接。连接状态持续到你下回合结束时终止。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</si>
  <si>
    <t>附魔学者</t>
  </si>
  <si>
    <t>从第2级你选择该学派起，你向法术书中抄写附魔系法术的时间和金钱花费减半。</t>
  </si>
  <si>
    <t>思维砥石</t>
  </si>
  <si>
    <t>物品：一套盔甲或法袍
这件注法物品能够向穿戴者发送震动，使其能够重新集中专注。此物品具有4发充能，当穿戴者在维持法术专注时所作的一次体质豁免中失败时，穿戴者能够以一个反应，消耗1发充能将结果改为成功。
此物品在每天的黎明时会恢复1d4发已被消耗的充能。</t>
  </si>
  <si>
    <t>精魂之盾</t>
  </si>
  <si>
    <t>从6级开始，卫士之魂会帮助你为你的盟友提供超自然保护。
狂暴期间，若一个处于你周围30尺内的、你能看到的其他生物受到伤害时，你可以用反应来为其降低2d6点的伤害。
当你此职业上达到特定等级后，你将可以减免更多的伤害：10级后3d6，14级后4d6。</t>
  </si>
  <si>
    <t>当你在3级加入剑舞学院时，你得到中甲和弯刀的熟练项。
若你熟练于一把简易近战武器或者军用近战武器，你就可以将其作为你诗人法术的法器使用。</t>
  </si>
  <si>
    <t>守御闪光</t>
  </si>
  <si>
    <t>第1级起，你可以在自己与正发动攻击的敌人之间建起一道神圣之光。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你可以使用该特性的次数等于你的感知调整值（至少为一次）。而你将在完成一次长休后重新恢复所有的使用次数。</t>
  </si>
  <si>
    <t>林地之语</t>
  </si>
  <si>
    <t>2级时，你获得了和野兽以及许多精类进行交流的能力。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此能力并不会让你和野兽形成特别的友谊，尽管你可以将此技能与讨好它们的礼物结合使用，就像是你能对其他NPC做的那样。</t>
  </si>
  <si>
    <t>推撞攻击</t>
  </si>
  <si>
    <t>你以武器攻击命中敌人时，可以消耗一粒卓越骰以尝试将该目标推开。
使用此战技时，你将所消耗的卓越骰加在此次攻击的伤害掷骰中。如果该目标为大型或更小体型，则其必须进行一次力量豁免。豁免失败者将被往远离你的方向推动至多15尺。</t>
  </si>
  <si>
    <t>暗影步</t>
  </si>
  <si>
    <t>第6级起，你获得在阴影中漫步的能力。
你处于微光光照或黑暗环境时，可以用附赠动作传送至多60尺，到达一个你能看见且未被占据还必须同样处于微光光照或黑暗环境中的区域。
随后直至你本回合结束前，你下一次发动近战攻击时具有优势。</t>
  </si>
  <si>
    <t>复仇圣誓法术</t>
  </si>
  <si>
    <t>圣武士等级——法术
3rd——灾祸术、猎人印记
5th——人类定身术、迷踪步
9th——加速术、防护能量伤害
13th——放逐术、任意门
17th——怪物定身术、探知</t>
  </si>
  <si>
    <t>幽域追踪者法术</t>
  </si>
  <si>
    <t>3级起，你学会一个额外法术当你到达指定游侠等级时，如幽域追踪者法术列表所示。
这些法术对你视为游侠法术，它不计入你的已知法术总数中。
游侠等级——法术
3级——易容术
5级——魔绳术
9级——恐惧术
13级——高等隐身术
17级——伪装术</t>
  </si>
  <si>
    <t>万能诡术</t>
  </si>
  <si>
    <t>第13级时，你获得用你的法师之手使目标分心的能力。
作为一个附赠动作，你可以在自己的回合内指定该法术之幽灵手周边5尺内的一个生物。
直至该回合结束之前，你对该生物发动的攻击检定具有优势。</t>
  </si>
  <si>
    <t>真龙姿态</t>
  </si>
  <si>
    <t>18级起，你可以导引你巨龙先祖的恐怖气息，使你周围的生物感到震撼或恐慌。
你可以用一个动作和5术法点引导这股力量，并张开一个60尺范围的震撼（或恐惧）灵光。
在1分钟内，只要你保持专注（等同于施法时进行专注），在灵光范围内开始其回合的每个敌对生物都必须进行一次感知豁免，豁免失败则被魅惑（震撼灵光）或陷入恐慌（恐惧灵光）直至灵光消失。
豁免成功者将在随后的24小时内免疫你的灵光效应。</t>
  </si>
  <si>
    <t>饮命者</t>
  </si>
  <si>
    <t>你使用契约武器命中某个生物时，额外造成相当于你魅力调整值的黯蚀伤害（最少为1）。
先决条件：第12级，刃之魔契</t>
  </si>
  <si>
    <t>催眠凝视</t>
  </si>
  <si>
    <t>从第2级你选择该学派起，你可以用轻柔的语言和魅惑的目光来施展魔法奴役其他生物。
作为一个动作，你指定身边5尺范围内一个你能看见的生物。
如果该生物能看见你或者能听到你的声音，则其必须进行一次对抗你法师法术豁免DC的感知豁免，豁免失败则受你魅惑，其状态持续至你下一回合结束。
该被魅惑生物的速度降至0，并陷入失能状态。
外表上看该生物会是一副头晕目眩的样子。
在接下来的回合中，你可以用另一个动作来延续该效应，以将其持续时间再延续至你的下一回合结束。
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</si>
  <si>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光耀武器</t>
  </si>
  <si>
    <t>先决条件：6级奇械师
物品：一把简易或军用武器（需同调）
在用此魔法武器发动的攻击检定和伤害掷骰获得+1加值。当持握该武器时，持用者能以一个附赠动作让它放出半径30尺的明亮照明以及该范围外30尺范围的昏暗照明。持有者也能以一个附赠动作熄灭武器的光芒。
此武器具有4发充能，当该武器的持有者被近战攻击命中之后，持用者能够立即以一个反应，消耗1发充能让攻击者对抗你的法术豁免DC进行一次体质豁免，若豁免失败，攻击者将陷入 目盲blinded 状态直到他的下个回合结束。此武器在每天的黎明时会恢复1d4发已被消耗的充能。</t>
  </si>
  <si>
    <t>问道精魂</t>
  </si>
  <si>
    <t>第10级起，你获得了和你的先祖之魂进行交流的能力。当你想这么做时，你可以施展 卜筮术Augury 或 鹰眼术Clairvoyance ，且无需法术位与材料成分。这两个法术的施法属性为感知。以此施展的 鹰眼术Clairvoyance 中，作为法术描述中提及的球形探测器的代替，这个法术会在指定位置创造一个无形的先祖之魂。
一旦你使用这个特性施展了上述两者之一，直到你完成一次短休或长休为止你都不能再次使用这一特性。</t>
  </si>
  <si>
    <t>第3级起，你可以选择一种战斗风格作为你的专精。选择下述战斗风格之一。即使你今后仍可有选择战斗风格的机会，你也不能多次选择同一种战斗风格。• 决斗：当你单手持一把近战武器，且不持用其他武器，你使用这把武器的武器伤害骰获得+2加值。
• 双武器战斗：当以双武器战斗时，你可以将你的属性调整值加到第二次攻击的伤害上。</t>
  </si>
  <si>
    <t>引导神力：黎明曙光</t>
  </si>
  <si>
    <t>第2级起，你可以用引导神力特性驱策阳光，以驱逐黑暗并对敌人造成光耀伤害。
作为一个动作，你可以展示你的圣徽，并驱散你身边30尺内所有源自魔法的黑暗。此外，你身边30尺内每个敌对生物都必须进行一次体质豁免。豁免失败者将受2d10＋你牧师等级的光耀伤害，豁免成功则伤害减半。相对你处于全身掩护的生物不受该效应影响。</t>
  </si>
  <si>
    <t>精魂图腾</t>
  </si>
  <si>
    <t>2级起，你获得了招现出自然精魂并借助它们影响你身边的世界的能力。
以一个附赠动作，你可以魔法般地召唤一个虚体的精魂，到处于你周围60英尺内、你能看到的一点处。
此精魂创造出一道环绕该点的、30英尺半径的光环。
精魂不算作是生物，也不算作是物体，尽管它有着符合对应生物的幽魂般的外表。
以一个附赠动作，你可以移动此精魂至多60英尺，到你能看到的一点处。
此精魂持续1分钟或直到你失能。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在精魂出现时，每个处于此光环中、由你选择的生物，获得等于5+你的德鲁伊等级的临时生命值。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</si>
  <si>
    <t>重整旗鼓</t>
  </si>
  <si>
    <t>你在自己回合内可以使用一个附赠动作并消耗一粒卓越骰以鼓舞一名盟友的士气。
选择一名能看见你或听到你声音的盟友，并使其获得数量等于卓越骰结果＋你的魅力调整值的临时生命值。</t>
  </si>
  <si>
    <t>幽影斗篷</t>
  </si>
  <si>
    <t>第11级起，你学会如何化身为幽影。
当你处于微光光照或黑暗环境时，可以用动作变为隐形。
隐形状态将一直持续至你发动攻击、施展法术或进入明亮光照区域时结束。</t>
  </si>
  <si>
    <t>引导神力-复仇</t>
  </si>
  <si>
    <t>在第3级选择本誓言时，你获得以下两种引导神力选项。
破胆斥喝：作为一个动作，你亮出圣徽，高喊一句斥责敌人的祷言，并使用引导神力特性。
指定一个你能看见，且距离你60尺以内的生物。
目标生物必须进行一次感知豁免，除非其免疫恐慌。
邪魔和不死生物进行该豁免时具有劣势。
豁免失败者将在接下来的一分钟内陷入恐慌，直至其受到伤害。
在恐慌状态下，目标生物的速度降至0，且不能从任何增加移动速度的效应中上获益。
豁免成功，则目标生物的速度在接下来的1分钟内减半，直至其受到伤害。
仇敌誓言：作为一个附赠动作，你可以立下一个仇敌誓言，宣誓歼灭一个你可以看到，且距离你10尺以内的生物，同时使用你的引导神力。
在接下来的1分钟内，你对该生物发动攻击时进行的攻击检定具有优势，直至该生物的生命值降至0或者陷入昏迷状态。</t>
  </si>
  <si>
    <t>恐惧奇兵</t>
  </si>
  <si>
    <t>你精通于伏击的艺术。
你获得一个等同于你的感知调整值的加值在你的先攻投上。
在每一场战斗的你的第一个回合的开始，你的移动速度增加10尺，直到那个回合结束。
如果你在那个回合进行攻击动作，你可以做一次额外的武器攻击作为那一个动作的一部分。
如果那次攻击命中，目标受到额外1d8的武器伤害。</t>
  </si>
  <si>
    <t>法术窃贼</t>
  </si>
  <si>
    <t>第17级起，你获得盗取其他施法者施法知识的能力。
当一个生物施展的一个法术以你为目标，或其法术效应范围包含你所在区域时，你可以立即用你的反应强迫该生物以其施法关键属性调整值进行一次豁免。
其DC等同于你的法术豁免DC。
若其豁免失败，则你取消该法术对你的效应。
如果该法术至少为1环且属于你可以施展的环阶（但不需要是法师法术），则你还可以盗取该法术的知识。
在接下来的8小时内，你视为习得该法术且能用你的法术位施展该法术。
而目标生物则无法施展该法术直至8小时过去。
你必须完成一次长休后才能再次使用该特性。</t>
  </si>
  <si>
    <t>狂野魔法浪涌</t>
  </si>
  <si>
    <t>在你第1级选择该起源开始，你施法时会释放出未经塑造的魔法浪涌。
你每次施展一个不低于1环的术士法术后，DM都可以要求你立刻骰一次d20。
如果你骰出1，则请根据表格“狂野魔法浪涌”骰出随机的魔法效应。
每回合一次，DM可以让你在施展一道1环或更高环阶术士法术后立即骰一次d20。
若你骰值为1，则按表格“狂野魔法浪涌”骰出一个魔法效应。
若该效果是一道法术，则其因过于狂野而无法受你的超魔法影响，而如果它正常情况下需要专注，则此时它无需专注。
该法术生效至其持续时间结束。
一个魔法浪涌每回合只能出现一次。
如果某个浪涌的效应是一个法术，则其狂野的本质让其无法受超魔法的影响。
如果其对应法术需要专注，则此时它并不需要专注。
以该方式生效的法术将维持至其持续时间结束。</t>
  </si>
  <si>
    <t>千面之脸</t>
  </si>
  <si>
    <t>你可以随意施展易容术disguise self，且无需消耗法术位。</t>
  </si>
  <si>
    <t>直觉魅惑</t>
  </si>
  <si>
    <t>第6级起，一个身处你周边30尺范围内你能看见的生物对你发动攻击检定时，你可以用你的反应来偏转本次攻击，前提是必须有另一生物在本次攻击的攻击范围内。
攻击者必须进行一次对抗你法师法术豁免DC的感知豁免。
豁免失败则攻击者必须转而攻击距离他最近的生物（不包括你或他自身）。
如果有多个目标离他的距离相等且都为最近，则攻击者可以从中自选一个攻击对象。
如果攻击者豁免成功，则你将无法对这个生物在使用该特性，直至你完成一次长休。
你必须在攻击确认命中与否前使用该特性。而免疫魅惑的生物也同样免疫该特性。</t>
  </si>
  <si>
    <t>连射武器</t>
  </si>
  <si>
    <t>物品：一把具有弹药特性的简单或军用武器（需同调）
在用此魔法武器发动的远程攻击检定和其伤害掷骰上获得+1加值，并且无视其装填特性（若有）。
如果此武器缺乏弹药，则在你持用它发起远程攻击时，它会自动创造一枚独属于它的魔法弹药。此武器创造的弹药在击中目标或失手后都会立即消失。</t>
  </si>
  <si>
    <t>先祖复仇</t>
  </si>
  <si>
    <t>第14级起，你的先祖之魂变得强大到足以打击伤害你所保护之人的敌人。当你使用 精魂之盾Spirit Shield 保护生物、降低一次攻击的伤害时，攻击者还将受到精魂之盾所降低伤害等量的力场伤害。</t>
  </si>
  <si>
    <t>剑舞</t>
  </si>
  <si>
    <t>第3级起，你学会使用你的战斗技巧和速度来进行一场令人赞叹的表演。
当你在自己回合执行攻击动作时，你的步行速度提升10尺直到该回合结束。当你在该攻击动作中发动的武器攻击命中生物时，你能选择并应用以下剑舞选项之一。每回合你只能使用一种剑舞选项。
• 守御剑舞 Defensive Flourish。 你可以消耗一次诗人激励的次数，并使该武器对你命中的目标造成额外的伤害。额外伤害等于你的激励骰掷骰结果。你的AC也会获得激励骰掷骰结果相等的加值，持续直至你的下回合开始。
• 乱击剑舞 Slashing Flourish。 你可以消耗一次诗人激励的次数，并使该武器对你命中的目标造成额外伤害，伤害等于你的激励骰投掷结果。你周围5尺范围内由你选择的其他可见生物也将受到这一额外伤害。
• 推击剑舞 Mobile Flourish。你可以消耗一次诗人激励的次数，并使该武器对你命中的目标造成额外的伤害，伤害等于你的激励骰投掷结果。你还能将目标向远离你的方向推动至多 5＋你的激励骰掷骰结果 尺。推动之后，你能立即使用你的反应移动至多等于你步行速度的距离，来到目标周围5尺范围内的一处未被占据的空间内。</t>
  </si>
  <si>
    <t>精通闪光</t>
  </si>
  <si>
    <t>第6级时，你能看见的生物在你周边30尺内攻击除你之外的某个生物时，你可以对该攻击者使用你的“守御闪光”。</t>
  </si>
  <si>
    <t>强力召唤</t>
  </si>
  <si>
    <t>6级起，你获得了召唤强力野兽和精类的能力。
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</si>
  <si>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反击</t>
  </si>
  <si>
    <t>当某生物对你发动近战攻击而未命中时，你可以使用反应并消耗一粒卓越骰对其发动一次近战武器攻击。如果该攻击命中，则将卓越骰加在此攻击的伤害掷骰中。</t>
  </si>
  <si>
    <t>灵机一斩</t>
  </si>
  <si>
    <t>第17级起，你可以抓住利用生物被攻击命中时的短暂停顿。
身处你身边5尺范围内的生物被除你之外的生物攻击命中时，你可以用反应对该被攻击生物发动一次近战攻击。</t>
  </si>
  <si>
    <t>坚韧复仇</t>
  </si>
  <si>
    <t>第7级起，你超自然的专注力使你可以拦截敌人撤退。
你以借机攻击中命中一个生物时，可以在该攻击后立刻移动至多相当于你速度一半的距离，本次移动是原反应的一部分。
且本次移动不引起借机攻击。</t>
  </si>
  <si>
    <t>阴影视野</t>
  </si>
  <si>
    <t>3级起，你获得60尺黑暗视觉。
如果你已经从种族特性中获得了黑暗视觉，它的范围增加30尺。
你还擅长回避依赖黑暗视觉的角色。
在黑暗中，你对于任何靠黑暗视觉观察你的角色是隐形的。</t>
  </si>
  <si>
    <t>听声辨谎</t>
  </si>
  <si>
    <t>当你在3级选择此范型时，你的双耳变得锐利，能发现谎言。
当你进行一次感知（洞察）检定来察觉一个生物是否在说谎时，你可以将d20投中7或更低的结果都视为8。</t>
  </si>
  <si>
    <t>混乱之潮</t>
  </si>
  <si>
    <t>第1级起，你可以驾驭机运与混乱的力量，以使一次攻击检定，属性检定或豁免检定具有优势。
此后，你必须完成一次长休后才能再次使用该特性。
在你重获使用混乱之潮的能力前，你每次施展一个不低于1环的术士法术后，DM都可以要求你立刻骰一次狂野魔法浪涌效果。
此后，你重获使用该特性的能力。</t>
  </si>
  <si>
    <t>万形之主</t>
  </si>
  <si>
    <t>你可以随意施展变身术alter self，且无需消耗法术位。
先决条件：第15级</t>
  </si>
  <si>
    <t>分裂附魔</t>
  </si>
  <si>
    <t>第10级起，你施展一个以单一生物为目标的1环或更高环阶的附魔系法术时，可以为该法术指定第二个目标。</t>
  </si>
  <si>
    <t>斥力之盾</t>
  </si>
  <si>
    <t>先决条件；6级奇械师
物品：一个盾牌（需同调）
持用这面盾牌时，那个生物的AC获得+1加值
此盾牌有4发充能，当持用者被近战攻击命中后，持用者可以以一个反应消耗一发充能将攻击者击退至多15尺远。该盾牌在每日黎明时会恢复1d4发已被消耗的充能。</t>
  </si>
  <si>
    <t>风暴灵光</t>
  </si>
  <si>
    <t>自3级起，在你狂暴期间，你会散发出一阵魔法性的灵光。它以你为中心向四周延展10尺，灵光无法穿透全掩护。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如果你灵光的效应需要生物进行豁免，其豁免DC等同于 8+你的熟练加值+你的体质调整值。
• 荒漠Desert。此效应激活时，你的灵光中所有其他生物都会受到2点火焰伤害。当你在这个职业达到特定等级后，这一灵光的伤害将增加：在5级后变为3点，10级后4点，15级后5点，20级后6点。
• 海洋Sea。当这个效果被激活时，你可以选择一个处于灵光中且你能看到的其他生物。目标必须通过一次敏捷豁免，豁免失败受到1d6闪电伤害，豁免成功则只受半数伤害。当你在这个职业达到特定等级后，这一灵光的伤害将增加：10级后变为2d6，15级后3d6，20级后4d6。
• 冻原Tundra。当这个效果被激活时，寒冰精魂加护于灵光中每个你选择的生物，令他们得以忍受伤害。它们获得2点临时生命值。当你在这个职业达到特定等级后，这一灵光给予的临时生命值将增加：在5级后变为3点，10级后变为4点，15级后变为5点，20级后变为6点。</t>
  </si>
  <si>
    <t>精魂守卫</t>
  </si>
  <si>
    <t>10级起，你的精魂图腾会守护那些你用你的魔法呼唤出的野兽和精类。
当一个你以一道法术召唤或创造的野兽或精类在你的精魂图腾光环内结束其回合时，该生物恢复等于你德鲁伊等级一半的生命值。</t>
  </si>
  <si>
    <t>横扫攻击</t>
  </si>
  <si>
    <t>你以近战武器攻击命中敌人时，可以消耗一粒卓越骰以尝试连带伤害附近的另一个生物。
使用此战技时，指定你触及范围内一个距离初始目标不超过5尺的生物。如果你原本的攻击检定足以命中第二个目标，则它将受到等同于你卓越骰结果的伤害。此伤害与你原本攻击的伤害类型相同。</t>
  </si>
  <si>
    <t>四象门徒</t>
  </si>
  <si>
    <t>第3级选择本宗派起，你开始学习操控元素的法门。每种法门在使用时都需要消耗气。
你会先习得元素同调法门和另一个自选法门，所有法门具体见下。你将在第6、第11、第17级时，将各习得一个新法门。
你每次习得新的法门时，还可以将一个你已知的法门替换为另一个符合选择条件的法门。
施放元素法术：某些法门让你可施展法术。通过法门施法也适用正常的施法时间和其它规则，只是你不需要提供材料成分。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例如，作为一名5级武僧，你通过飞炎击法门来施展法术燃烧之手。则此时你可以消耗3点气来施展2环的燃烧之手（该法门的基本消耗2加上额外消耗1）。
你以该方式施展法术可消耗气的数量上限如上表（该消耗上限包括法门的基本消耗加上额外消耗），其具体情况与你的武僧等级相关联。
气与法术
武僧等级——施法最高气消耗量
5th~8th——3
9th~12th——4
13th~16th——5
17th~20th——6</t>
  </si>
  <si>
    <t>复仇之魂</t>
  </si>
  <si>
    <t>第15级起，你立下仇敌誓言时所宣誓之存在赐予你更大的力量以击倒敌人。
一个受你仇敌誓言影响的生物发动攻击时，如果其身处你的近战武器攻击范围内，则你就可以用你的反应对其发动一次近战武器攻击。</t>
  </si>
  <si>
    <t>钢铁意志</t>
  </si>
  <si>
    <t>7级时，你已经磨炼出用来抵御来自于你的猎物的精神影响能量的能力。
你获得感知豁免熟练。
如果你已经有这项熟练，你可以获得智力或者魅力豁免熟练（取决于你）来代替。</t>
  </si>
  <si>
    <t>细致入微</t>
  </si>
  <si>
    <t>3级起，你可以使用附赠动作来进行一次感知（观察）检定来侦测到一个隐藏的生物或物体，或者是进行一次智力（调查）检定来揭示和破译线索。</t>
  </si>
  <si>
    <t>扭曲幸运</t>
  </si>
  <si>
    <t>第6级起，你获得用你的狂野魔法扭曲命运的能力。
当一个你能看见的生物进行攻击检定、属性检定或豁免检定时，你可以用一个反应并消耗2术法点骰一次1d4，再将结果用作加值或减值（由你决定）加到目标生物的检定结果中。
你可以在看到检定结果后使用该特性，但必须在这次检定生效前声明。</t>
  </si>
  <si>
    <t>混沌手下</t>
  </si>
  <si>
    <t>你可以消耗你的邪术师法术位施展一个元素咒唤术conjure elemental。你必须完成一次长休才能再次施展该法术。
先决条件：第9级</t>
  </si>
  <si>
    <t>编演记忆</t>
  </si>
  <si>
    <t>第14级起，你获得让生物无法认识到你对其魔法影响的能力。
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
该生物必须进行一次对抗你法师法术豁免DC的智力豁免，豁免失败则其失去一定小时的记忆，其数值为1＋你的魅力调整值（至少为1）。
你可以选择让目标忘记更短时间内的记忆，而所忘记记忆的长度不能超过该附魔法术的持续时间。</t>
  </si>
  <si>
    <t>抗性盔甲</t>
  </si>
  <si>
    <t>先决条件：6级奇械师
物品：一套盔甲（需同调）
穿戴该盔甲的生物对以下伤害类型中的一种具有抗性（在你为这个物品注法时选择）：强酸、冷冻、火焰、力场、闪电、黯蚀、毒素、心灵、光耀、雷鸣。</t>
  </si>
  <si>
    <t>风暴之魂</t>
  </si>
  <si>
    <t>第6级起，不论你是否散发着灵光，风暴都能为你带来增益。这一增益效果基于你在 风暴灵光Storm Aura 特性中所选择的环境类型。
• 荒漠Desert。你获得火焰伤害的抗性，且不会受到 炎热Extreme Heat 的效应影响（其记载于《城主手册》中）。此外，你可以以一个动作，触碰一个未被他人穿戴或携带的易燃物体来点燃它。
• 海洋Sea。你获得闪电伤害的抗性，与在水下呼吸的能力。你还将获得30尺的游泳速度。
• 冻原Tundra。你获得冷冻伤害的抗性，且不会受到 严寒Extreme Cold 的效应影响（其记载于《城主手册》中）。此外，你可以以一个动作，触碰水体并将5尺立方的水冻结成冰，这种冰将会在1分钟后融化。如果该立方空间中有任何生物，这一动作将会失败。</t>
  </si>
  <si>
    <t>剑舞大师</t>
  </si>
  <si>
    <t>第14级起，当你使用剑舞选项时，你可以不消耗诗人激励次数，并投掷d6以代替选项中诗人激励骰使用。</t>
  </si>
  <si>
    <t>光冕</t>
  </si>
  <si>
    <t>第17级起，你可以用你的动作启动日光的灵光，其效应持续1分钟或直至你用另一个动作将其解散。你将释放出半径60尺的亮光光照，以及其外延伸30尺的微光光照。身处该亮光光照中的敌人，为抵抗任何火焰或光耀伤害的法术而进行豁免检定时具有劣势。</t>
  </si>
  <si>
    <t>忠诚召唤</t>
  </si>
  <si>
    <t>从14级开始，你通联的自然精魂会在你最为无助的时候保护你。
若你的生命值降到0，或非自愿地变得失能，你可以立即获得召唤野兽法术的好处，如同它是以一个9级法术位施展的那样。
它召唤出四只由你选择的、挑战等级2或更低的野兽。
被召唤的野兽出现在你周围20英尺内。
如它们没有从你那里获得命令，它们会保护你免受伤害并攻击你的敌人。
此法术持续1小时，无需专注，或直到你解消它（无需动作）。
一旦你使用了此特性，你无法再次使用它，直到你完成了一次长休息为止。</t>
  </si>
  <si>
    <t>摔绊攻击</t>
  </si>
  <si>
    <t>你以武器攻击命中敌人时，可以消耗一粒卓越骰以尝试击倒该目标。
使用此战技时，你将所消耗的卓越骰加在此次攻击的伤害骰中。如果该目标为大型或更小体型，则其必须进行一次力量豁免。豁免失败则其应击倒地。</t>
  </si>
  <si>
    <t>寒冬之息</t>
  </si>
  <si>
    <t>你可以消耗6点气施展法术寒冰锥。（需17级）</t>
  </si>
  <si>
    <t>复仇天使</t>
  </si>
  <si>
    <t>第20级起，你可以化身为复仇的天使。
你可以使用动作实行这种转变，并在接下来的1小时内获得以下增益：
你背生双翼，获得60尺飞行速度。
你散发出一个30尺半径范围的威胁灵光。
在一次战斗中，任何敌对生物第一次进入灵光范围，或者在灵光范围内开始其回合时，都必须进行一次感知豁免。
豁免失败者将在接下来的1分钟陷入对你的恐慌状态，直至受到伤害。
对因此陷入恐慌的生物所进行的任何攻击检定都具有优势。
你必须完成一次长休后才能再次使用该特性。</t>
  </si>
  <si>
    <t>追猎如风</t>
  </si>
  <si>
    <t>11级时，你学会以出人意料的速度来发动攻击以至于你能够将一次失手转化为另一次攻击。
你的每个回合一次，当你的一次武器攻击未命中时，你可以做出另一次武器攻击作为同一动作的一部分。</t>
  </si>
  <si>
    <t>战斗洞察</t>
  </si>
  <si>
    <t>3级时，你得到了解到一个敌人的战术并加以反制的能力。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这个效果持续1分钟或直到你成功的对另一个目标使用了战斗洞察为止。</t>
  </si>
  <si>
    <t>操控混沌</t>
  </si>
  <si>
    <t>第14级起，你获得了对狂野魔法涌动的些微掌控。你每次骰狂野魔法浪涌效果时，可以骰两次检定再自选其一生效。</t>
  </si>
  <si>
    <t>心灵泥沼</t>
  </si>
  <si>
    <t>你可以消耗你的邪术师法术位施展一个缓慢术slow。你必须完成一次长休才能再次施展该法术。
先决条件：第5级</t>
  </si>
  <si>
    <t>塑能学者</t>
  </si>
  <si>
    <t>从第2级你选择该学派起，你向法术书中抄写塑能系法术的时间和金钱花费减半。</t>
  </si>
  <si>
    <t>回力武器</t>
  </si>
  <si>
    <t>物品：一把带有投掷属性的简易或军用武器
在用此魔法武器发动的攻击检定和伤害掷骰获得+1加值，并在使用它发动远程攻击后，它会立即回到持用者的手中。</t>
  </si>
  <si>
    <t>风暴之盾</t>
  </si>
  <si>
    <t>第10级起，你学会了运用你对风暴的掌控力来保护你的盟友。处于你灵光内的、由你选择的生物也将同样受益于你 风暴之魂 Storm Soul 特性所带来的伤害抗性。</t>
  </si>
  <si>
    <t>心灵之刃</t>
  </si>
  <si>
    <t>你在3级加入低语学院起，你得到了让你的武器攻击毒害生物精神的魔法能力。
当你以一次武器攻击命中一个生物时，你可以消耗一次吟游激励的次数并对目标造成额外的2d6点心灵伤害。你每轮在你的回合中只能这么做一次。
在你达到此职业的特定等级后，额外心灵伤害的值将提高，在5级后提高到3d6，10级后5d6，15级后8d6。</t>
  </si>
  <si>
    <t>自然领域法术</t>
  </si>
  <si>
    <t>牧师等级——法术
1st——化兽为友、动物交谈
3rd——树肤术、荆棘丛生
5th——植物滋长、风墙术
7th——支配野兽、擒抱藤
9th——疫病虫群、树跃术</t>
  </si>
  <si>
    <t>孢子结社法术</t>
  </si>
  <si>
    <t>你和真菌间形成了共生连接，而你踏入生死循环的能力为你带来了特定的法术。
在2级时，你学会戏法寒冷之触。
在3级，5级，7级，和9级你获得下表：孢子之环法术中对应等级列出的法术。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 法术
3级 遗体防腐，目盲/耳聋术
5级 操纵死尸，气化形体
7级 枯萎术，困惑术
9级 死云术，疫病术</t>
  </si>
  <si>
    <t>伏击</t>
  </si>
  <si>
    <t>当你进行一次敏捷（隐匿）检定或先攻检定时，你可以消耗一枚卓越骰，并将消耗的卓越骰加入本次检定中。</t>
  </si>
  <si>
    <t>北风之握</t>
  </si>
  <si>
    <t>你可以消耗3点气施展法术人类定身术。（需6级）</t>
  </si>
  <si>
    <t>征服圣誓法术</t>
  </si>
  <si>
    <t>圣武士等级——法术
3——艾嘉西斯之铠，命令术
5——人类定身术，灵体武器
9——降咒，恐惧术
13——支配野兽，石肤术
17——死云术，支配人类</t>
  </si>
  <si>
    <t>暗影闪避</t>
  </si>
  <si>
    <t>15级起，伴随着一缕围绕在你身边的神奇暗影，你能以某种让人始料未及的方式躲闪。
无论何时一名角色对你做出一次攻击投掷且那次投掷没有优势，你都能用反应对其施加劣势。
你必须在知道攻击投掷的结果之前使用该特性。</t>
  </si>
  <si>
    <t>镇定之眼</t>
  </si>
  <si>
    <t>9级时，你可以在进行任何感知（观察）检定或智力（调查）检定中得到优势，只要你在同一回合中移动不超过一半的速度。</t>
  </si>
  <si>
    <t>法术轰击</t>
  </si>
  <si>
    <t>第18级起，你法术中的伤害性能量极度扩张。
你在为法术进行伤害掷骰时，如果其中的任何一粒骰子掷出最大值，则选择这些骰子之一再骰一次，并将其结果加在伤害数值上。
你每回合只能使用一次该特性。</t>
  </si>
  <si>
    <t>迷雾幻影</t>
  </si>
  <si>
    <t>你可以随意施展无声幻影silent image，且无需消耗法术位和材料成分。</t>
  </si>
  <si>
    <t>法术塑形</t>
  </si>
  <si>
    <t>第2级起，你的塑能系法术作用范围里可以保留一小部分相对安全的区域。
你施展某个塑能系法术时，如果该法术的效应影响你能看见的其他生物，则你可以从中指定一定数量的生物作特殊处理。
被指定生物的数量等于1＋该法术的环阶，而被指定生物进行该法术豁免时将直接判为成功，且豁免成功伤害减半的法术此时也不对该生物造成任何伤害。</t>
  </si>
  <si>
    <t>法力恢复戒指</t>
  </si>
  <si>
    <t>先决条件：6级奇械师
物品：一枚戒指（需同调）
在佩戴此戒指期间，那个生物能够以一个动作恢复一个已被消耗掉的法术位。被恢复的法术位环阶必须是3环或更低环阶的法术位。一旦使用，此戒指在次日黎明前将无法再次使用。</t>
  </si>
  <si>
    <t>狂怒风暴</t>
  </si>
  <si>
    <t>第14级起，你能引导的风暴之力变得更加强大，足以打击你的敌人。你获得基于你在 风暴灵光Storm Aura 特性中所选择的环境类型的增益：
• 荒漠Desert。当处于你灵光中的生物在一次攻击命中你后，你可以立刻用你的反应迫使该生物进行一次敏捷豁免。豁免失败则受到等同于你野蛮人等级半数点火焰伤害。
• 海洋Sea。任何处于你灵光中的生物若被你以一次攻击击中，你可以用你的反应迫使该生物进行一次力量豁免。豁免失败时，它将如同被波浪拍打般应击 倒地Prone。
• 冻原Tundra。每当你激活你的 风暴灵光Storm Aura 时，你可以选择一个处于灵光里的你可见的生物。该生物必须通过一次力量豁免。豁免失败时，魔法的冰霜将它覆盖，使其速度降为0，持续直至你的下一个回合开始。</t>
  </si>
  <si>
    <t>惊骇之语</t>
  </si>
  <si>
    <t>第3级起，你学会了将险恶的魔法混入看似无害的语言中。一个听到你说话的生物可能会因此陷入恐惧或妄想。
若你单独的对一个类人生物交谈了至少1分钟，你可以尝试在其心灵中埋下多疑与恐惧的种子。在这次谈话的结束时，该目标必须通过一次对抗你的法术豁免DC的感知豁免，豁免失败将陷入对你或者你指定的某一生物的 恐慌Frightened ，持续1小时。如果它被攻击或伤害、它目击其盟友被攻击或伤害，这一效应将提前终止。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</si>
  <si>
    <t>自然侍僧</t>
  </si>
  <si>
    <t>第1级时，你习得一个自选的德鲁伊戏法。你还可以获得以下技能之一的熟练项：驯兽、自然、生存。这个戏法不计入你的已知戏法数量中。</t>
  </si>
  <si>
    <t>孢子光晕</t>
  </si>
  <si>
    <t>从2级起，你被无形的坏死的孢子包围着，直到你把他们释放到附近的生物上。
当一个生物进入你的10英尺内时，或在其中开始其回合时，你可以使用反应来激发孢子光晕特性。
造成1d4点暗蚀伤害，除非其通过一个等同于你法术DC的体质豁免。
此伤害在6级时提高到1d6，在10级时提高到1d8，在14级时提高到1d10。</t>
  </si>
  <si>
    <t>换位诈术</t>
  </si>
  <si>
    <t>在你自己的回合中，若你身旁有某个盟友处于你周围5尺范围内，你就能够消耗一枚卓越骰并消耗至少5尺的移动力，来与那个盟友互换位置，这次移动不会引发借机攻击。
投掷那枚被消耗的卓越骰。直到你的下个回合开始前，你或被互换位置的另一生物（由你选择）的AC获得等于卓越骰结果的加值。</t>
  </si>
  <si>
    <t>元素同调</t>
  </si>
  <si>
    <t>你可以用动作短暂操控身边30尺内的元素之力，并产生下列效应之一：
• 用土、水、气、火创造一次无害的瞬间视听效应，比如火花闪现、清风吹拂、青雾飘散、岩石轰隆。
• 瞬间点燃或吹熄蜡烛，火炬或小型营火。
• 加热或降温至多1磅无生命的物质，至多持续1小时。
• 将土，水，雾或火按照你的心意塑形成至多1尺立方的粗糙形状，至多持续1分钟。</t>
  </si>
  <si>
    <t>引导神力-征服</t>
  </si>
  <si>
    <t>在3级选择本誓言时，你获得以下两种引导神力选项。
引导神力如何运作，参见神圣誓约职业特性。
征服威压：你可以使用你的引导神力来发出一阵可怕的威压。
以一个动作，你强迫每个处于你周围30英尺内、你能看见的、由你选择的生物各进行一次感知豁免检定。
若豁免失败，目标变得恐慌于你，持续1分钟。变得恐慌的生物可以在其每个回合的结束时重复此豁免检定，成功则结束其身上的此效果。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当你进行一次攻击检定时，你可以使用你的引导神力以在此检定中得到+10加值。
你在你看到掷骰后进行决定，但需要在DM宣布此攻击命中与否前声明。</t>
  </si>
  <si>
    <t>边界行者魔法</t>
  </si>
  <si>
    <t>3级起，你学会一个额外法术当你到达指定游侠等级时，如边界行者法术列表所示。
这些法术对你视为游侠法术，它不计入你的已知法术总数中。
游侠等级——法术
3级——防护善恶
5级——迷踪步
9级——加速术
13级——放逐术
17级 ——传送法阵</t>
  </si>
  <si>
    <t>精准之眼</t>
  </si>
  <si>
    <t>13级时，你得到侦测魔法欺瞒的能力。
以一个动作，你感知到你周围30英尺内的幻术存在，不在天生形态下的变形生物，和其他意在欺瞒感官的魔法，前提是你没有目盲或耳聋。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</si>
  <si>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神圣魔法</t>
  </si>
  <si>
    <t>你对于神力的联系允许你学习通常与牧师职业相关的法术。
当你的施法特性让你学会一个术士戏法或一个1级或更高级的术士法术时，在术士法术列表之外，你可以从牧师法术列表中选择新法术。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亲和力——法术
善良：治疗伤口
邪恶：造成伤口
秩序：祝福术
混乱：灾祸术
中立：防护善恶</t>
  </si>
  <si>
    <t>融身入影</t>
  </si>
  <si>
    <t>身处微光或黑暗环境时，你可以使用动作进入隐形，其效应持续至你进行移动、执行动作或执行反应时终止。
先决条件：第5级</t>
  </si>
  <si>
    <t>强力戏法</t>
  </si>
  <si>
    <t>第6级起，你造成伤害的戏法可以影响本可免受戏法效应影响的生物。
生物对抗你戏法的豁免成功时，它仍将受到一半伤害（若有），但仍不会受该戏法的其他效应影响。</t>
  </si>
  <si>
    <t>复制魔法物品</t>
  </si>
  <si>
    <t>先决条件：见下
使用此注法，你能够复制一个特定的魔法物品。
你能够多次学习此注法；每次这样做时，你需要从下面的可复制魔法物品表中选择一个不同的魔法物品。
如果表格的标题中有一个等级，那么你必须到达该等级才能在这个表格中选择一个魔法物品。
另外，你也可以选择一个游戏中存在且并非卷轴或药水的普通级魔法物品。
在表格中，物品的条目会告诉你该项目是否需要调谐。
有关该物品的更多信息，包括制作该物品所需的物品类型，请参阅《地下城主指南》中的物品描述。
复制魔法物品（2级奇械师）——调谐
炼金壶——否
次元袋——否
水下呼吸帽——否
夜视镜——否
攀爬绳——否
传讯石——否
侦测魔法魔杖——否
探秘魔杖——否
复制魔法物品（6级奇械师）——调谐
精灵靴——否
精灵斗篷——是
蝠鲼斗篷——否
魅惑镜片——是
窃贼手套——否
显像提灯——否
颤栗乐笙——否
水行戒指——否
复制魔法物品（10级奇械师）——调谐
跳跑靴——是
雪地之靴——是
射手护腕——是
护盾胸针——是
防护斗篷——是
鹰眼镜片——是
食人魔力量手套——是
辟矢夺箭手套——是
运动健将手套——是
易容帽——是
智力头带——是
心灵感应头盔——是
读心勋章——是
适应项链——是
愈合护符——是
唤鼠乐笙——是
艾罗娜的箭袋——否
跳跃戒指——是
心灵护盾戒指——是
蛛行鞋——是
飞翼靴——是
复制魔法物品（14级奇械师）——调谐
健康护符——是
山丘巨人之力腰带——是
浮空靴——是
速度之靴——是
防御护腕——是
蝙蝠斗篷——是
次元镣铐——否
真视宝石——是
音爆号角——否
自由行动戒指——是
防御戒指——是
公羊戒指——是</t>
  </si>
  <si>
    <t>战狂道途</t>
  </si>
  <si>
    <t>只有矮人才可以选择战狂道途。在矮人的社会和文化中战狂占据了一个特殊的位置。
你的DM可以调整这一规则使之更符合战役。</t>
  </si>
  <si>
    <t>低语光环</t>
  </si>
  <si>
    <t>第6级时，你得到了吸取类人生物的人格的能力。当一个类人生物在你周围30尺内死去时，你可以使用你的反应，魔法性的捕获其影。直到你完成了一次长休或你使用掉它为止你能一直抓住这道影子。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1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其他生物可以通过进行一次感知（洞悉）检定对抗你的魅力（欺瞒）检定，以此来看穿此伪装。不过你在你的这一检定中具有+5加值。
一旦你使用此特性捕获了一道影子，直到你完成一次短休或长休前你都不能再捕获另一道影子。</t>
  </si>
  <si>
    <t>第1级起，你获得重甲的熟练项。</t>
  </si>
  <si>
    <t>一体共生</t>
  </si>
  <si>
    <t>在2级时，你获得了向体内的孢子引导魔法的能力。
当你使用你的荒野形态特性时，你可以唤醒这些孢子，而非进行变形。
当你这样做的时候，你每在此职业上具有一个等级便获得4点临时生命值。
当你这样做时，你获得下列好处：
当你的孢子光晕特性造成伤害时，额外骰一个伤害骰加在原有的伤害骰上。
并且你的近战武器攻击对任何被击中的目标造成额外的1d6点暗蚀伤害。
这些好处持续10分钟，或直到你失去所有临时生命值或再次使用了你的荒野形态。</t>
  </si>
  <si>
    <t>警戒</t>
  </si>
  <si>
    <t>当一个生物移动进你的触及范围而你手握武器时，你能以一个反应消耗一枚卓越骰对该生物进行一次武器攻击。如果攻击命中，将消耗的卓越骰加入此次攻击的伤害掷骰中。</t>
  </si>
  <si>
    <t>苍山庇佑</t>
  </si>
  <si>
    <t>你可以消耗5点气对自身施展石肤术。（需17级）</t>
  </si>
  <si>
    <t>征服光环</t>
  </si>
  <si>
    <t>从7级起，只要你并未失能，你便弥漫出一阵威吓的灵光。
光环包括你的格子，从你向各个方向延伸10英尺，它会被全掩蔽所阻挡。
若一个生物恐慌于你，当其处于此光环内，其速度降为0，若其在光环内开始其回合，则受到等于你圣武士等级一半的心灵伤害。
在18级，此光环的距离增加到30英尺。</t>
  </si>
  <si>
    <t>侦测传送门</t>
  </si>
  <si>
    <t>在3级时，你获得侦测传送门的魔法灵光的能力。
以一个动作，在离你1英里的范围内，你侦测到离你最近的传送门的距离和方向。
你使用这一特性后，你无法再次使用直到你进行完一次短休或长休。</t>
  </si>
  <si>
    <t>识破弱点</t>
  </si>
  <si>
    <t>17级时，你学会通过认真的研究一个生物的战术和移动来找到他的弱点的能力。
当你的战斗洞察对一个生物使用时，你对该生物的偷袭伤害提高3d6。</t>
  </si>
  <si>
    <t>众神眷恩</t>
  </si>
  <si>
    <t>从1级起，神圣力量指引着你的命运。
若你未通过一次豁免检定或在一次攻击检定中失手，你可以投2d4，并将它加到总值上，这可能会改变结果。
一旦你使用了此特性，你无法在完成一次短休息或长休息前再次使用它。</t>
  </si>
  <si>
    <t>超凡跳跃</t>
  </si>
  <si>
    <t>你可以随意以自身为目标施展跳跃术jump，且无需消耗法术位和材料成分。
先决条件：第9级</t>
  </si>
  <si>
    <t>强效塑能</t>
  </si>
  <si>
    <t>第10级起，你施展任何塑能系法师法术时，可以将你的智力调整值加到该法术的其中一次伤害掷骰中。</t>
  </si>
  <si>
    <t>工具精通</t>
  </si>
  <si>
    <t>当你在第三级选择此专业时，你获得炼金工具的熟练。
如果你已经拥有此熟练，作为代替，你能获得另一种工匠工具的熟练。</t>
  </si>
  <si>
    <t>战狂装甲</t>
  </si>
  <si>
    <t>从3级起，你得到将钉刺甲作为武器使用的能力。
当你穿着钉刺甲并在狂暴中，你可以使用你的附赠动作用钉刺甲对5尺内的目标进行一次近战武器攻击。若攻击命中，钉刺将造成1d4的穿刺伤害。把你的力量调整加在武器的攻击和伤害骰上。
另外，当你使用攻击动作去擒抱一个生物，你在擒抱检定成功时对他造成3点穿刺伤害。
钉刺甲是一种罕见的中甲，它们出自矮人工匠之手，造型看上去像是覆盖了金属尖刺的皮革外套和护腿。
价格：75gp
AC：14+敏捷调整值（最大+2）
潜行：劣势
重量：45磅</t>
  </si>
  <si>
    <t>阴暗学识</t>
  </si>
  <si>
    <t>第14级起，你学会了在言语中织入黑暗魔法激发一个生物内心最深处的恐惧。
以一个动作，你对一个30尺内，能听见你的声音的生物发出一段魔法低语。目标必须进行一次对抗你的法术豁免DC的感知豁免。若它与你没有共通的语言、或是它不能听见你的声音，它的豁免将自动成功。豁免成功时，你的低语声听起来就像是一段不知所云的呢喃，且没有任何效果。
豁免失败时，他将被你 魅惑Charmed ，持续8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</si>
  <si>
    <t>引导神力：魅惑动植物</t>
  </si>
  <si>
    <t>第2级起，你可以用引导神力特性魅惑动物和植物。
作为一个动作，你可以展示你的圣徽同时呼唤守护神之名。身处你身边30尺内每个你能看见的野兽或植物生物都必须进行一次感知豁免。豁免失败者将受你魅惑，该魅惑状态将持续1分钟或直至其受到伤害。受你魅惑时，该生物对你及你指定的生物均保持友善。</t>
  </si>
  <si>
    <t>真菌感染</t>
  </si>
  <si>
    <t>在6级时，你的孢子获得了感染并活化遗体的能力。
如果一个小型或中型的野兽或类人生物在你十尺内死亡，你可以以一个反应动作活化它，令它站起并具有1点生命值。
该生物使用MM中僵尸的属性，它将持续活化状态1小时，之后会倒下死去。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</si>
  <si>
    <t>领导风范</t>
  </si>
  <si>
    <t>当你进行一次魅力（威吓）、魅力（表演）或魅力（说服）检定时，你能够消耗一枚卓越骰，将消耗的卓越骰加入此次属性检定中。</t>
  </si>
  <si>
    <t>火蛇利牙</t>
  </si>
  <si>
    <t>你在自己回合内执行攻击动作时，可以消耗1点气使得火焰触须从四肢喷涌而出。在本回合余下时间里，你进行徒手打击时的触及范围增加10尺。
而这些攻击造成的伤害变为火焰伤害，而非钝击伤害。若在攻击命中时再消耗1点气，则该次攻击还可额外造成1d10的火焰伤害。</t>
  </si>
  <si>
    <t>轻蔑呵斥</t>
  </si>
  <si>
    <t>从15级起，那些胆敢击中你的人，将在心灵上因为无礼而受到惩罚。
当一个生物以一次攻击击中你时，若你并未失能，该生物受到等于你魅力调整值（最小为1）的心灵伤害。</t>
  </si>
  <si>
    <t>位面战士</t>
  </si>
  <si>
    <t>3级起，你学会通过吸取多元宇宙的能量来强化你的攻击。
以一个附赠动作，选择一名在你30尺范围内对你可见的角色，这回合你对其的下一次武器攻击造成的伤害变成力场伤害，且目标额外受到来自于该攻击的1d8力场伤害，当你的游侠等级到达11级时，额外伤害变成2d8。</t>
  </si>
  <si>
    <t>阴谋大师</t>
  </si>
  <si>
    <t>从3级起，你可以得到易容工具、文书伪造工具和一种自选赌博工具的熟练。
你同时可以学会两种自选语言。
此外，如果你听到一个生物讲话长于1分钟，你可以确切无误地模仿他的语气和口音。
这允许你模仿来自某个特殊地区的特别口音，只要你知晓这种语言。</t>
  </si>
  <si>
    <t>强效治疗</t>
  </si>
  <si>
    <t>6级起，你可以通过神圣之力增幅治疗法术。
当你或你的盟友在你周围5英尺内掷骰子来决定法术恢复hp点数的时候，只要你没有失能，你便可以花费1个术法点，重扔其中任意数量的骰子。
每轮只能使用一次该能力。</t>
  </si>
  <si>
    <t>斥力魔爆</t>
  </si>
  <si>
    <t>施展魔能爆eldritch blast时，你可以将被命中的生物沿直线往远离你的方向推动至多10尺。
先决条件：习得戏法 魔能爆</t>
  </si>
  <si>
    <t>超限导能</t>
  </si>
  <si>
    <t>第14级起，你可以为你的简单法术增强力量。
施展一个造成伤害的1~5环法师法术时，你可以让法术的伤害直接取其最大值。
该特性不能作用于戏法。
首次发动该特性时，你并不会承受任何减益。
如果你在完成一次长休前再次使用此特性，则你将在施法完成后立刻受到等于该法术每环阶2d12点黯蚀伤害。
你在完成一次长休前，每再使用一次该特性，每环阶的黯蚀伤害就增加1d12。这种反噬伤害将无视任何的抗性和免疫。</t>
  </si>
  <si>
    <t>炼金师法术</t>
  </si>
  <si>
    <t>第3级起，只要你达到相应的职业等级，炼金师法术表格中的法术总是被视为已准备。
这些法术对你来说是奇械师法术，且不会计入你可以准备法术的总数。
奇械师等级 法术
3级 治愈真言，致病射线
5级 炽焰法球，马友夫强酸箭
9级 气化形体，群体治愈真言
13级 枯萎术，防死结界
17级 死云术，死者复活</t>
  </si>
  <si>
    <t>凶蛮无羁</t>
  </si>
  <si>
    <t xml:space="preserve">从6级起，当你在狂暴期间使用 鲁莽攻击Reckless Attack 时，你还可以得到等同于你的 体质调整值（最少1点） 点的临时生命。这一临时生命值在你狂暴结束后还剩余一部分时，剩余部分会消失。 </t>
  </si>
  <si>
    <t>潜能微尘</t>
  </si>
  <si>
    <t>第3级起，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 属性检定：当该生物将诗人激励骰用于增益属性检定时，他可以重新掷一次诗人激励骰并且选择使用其中一个掷骰结果，这团微尘会炸开，发射出多彩而无害的闪光。
•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 豁免检定：当该生物将诗人激励骰用于增益豁免检定时，掷出诗人激励骰后，这团微尘会立刻伴随着一段舒缓的音乐消失不见，给予这个生物等同于该诗人激励骰子所掷结果加上你的魅力调整值的临时生命值（最低为1）。</t>
  </si>
  <si>
    <t>抑制元素</t>
  </si>
  <si>
    <t>第6级起，身处你或身处你身边30尺内的一个生物受到强酸，冷冻，火焰，闪电或雷鸣伤害时，你可以用你的反应使该生物在本次伤害过程中对该伤害类型具有抗性。</t>
  </si>
  <si>
    <t>扩散孢子</t>
  </si>
  <si>
    <t>在10级时，你获得了在一片区域内散布致命的孢子的能力。
当你的一体共生特性处于开启状态下，你可以用一个附赠动作，将真菌孢子抛向至多30英尺外，它们将漂浮在那里10英尺见方的空间中，持续1分钟。
若你再次使用此特性，或使用一个附赠动作取消掉，或你的一体共生特性不再起作用，这片孢子将提前消失。
任何在此空间内开始其回合的生物受到你的孢子光晕伤害，除非其通过一个等同于你法术DC的体质豁免，一个生物每轮只能受到一次该伤害。
只要这片孢子存在，你就不能使用你孢子光晕的反应动作。</t>
  </si>
  <si>
    <t>擒拿击</t>
  </si>
  <si>
    <t>当你在一次近战武器攻击命中一个生物时，你能够立即消耗一枚卓越骰，以一个附赠动作对目标进行一次擒抱（见玩家手册的擒抱规则）。将消耗的卓越骰加入你的力量（运动）检定中。</t>
  </si>
  <si>
    <t>四雷拳</t>
  </si>
  <si>
    <t>你可以消耗2点气施展雷鸣波。</t>
  </si>
  <si>
    <t>不移胜者</t>
  </si>
  <si>
    <t>在20级时，你得到驾驭特异武艺的能力。
以一个动作，你可以魔法性的变成征服的化身，获得下述的好处，持续1分钟：
你对于所有伤害得到抗力。
当你在你的回合进行攻击动作时，你可以进行一次额外的攻击，作为该动作的一部分。
你的近战武器攻击在掷出19或20时即可造成重击。
一旦你使用了此特性，直到你完成了一次长休息后不能再使用它。</t>
  </si>
  <si>
    <t>灵界漫步</t>
  </si>
  <si>
    <t>在7级时，你学会如何进入灵界位面。
以一个附赠动作，你能够以这个特性不消耗法术位施放同游灵界，但是这个法术在当前回合结束时结束，你使用该特性后，你无法再次使用直到你进行完一次短休或长休。</t>
  </si>
  <si>
    <t>战术大师</t>
  </si>
  <si>
    <t>从第3级开始，你可以把协助动作作为附赠动作使用。
此外，当你使用协助动作帮助一个盟友攻击一个生物时，如果目标可以看到你或者听到你的话，攻击的目标可以在30尺以内，而不是你的5尺之内。</t>
  </si>
  <si>
    <t>神圣之翼</t>
  </si>
  <si>
    <t>14级起，你可以使用一个附赠动作，在你的背部展现一对光翼。
当光翼展现时，你具有30ft的飞行速度。
它们会一直展现着，直到你失能、死亡、或者你以一个附赠动作遣散。
你为你神圣魔法的特性所选择的亲和力，决定了光翼的外观：鹰翼属于善良或守序，蝠翼属于邪恶或混乱，中立则是蜻蜓的翅膀。</t>
  </si>
  <si>
    <t>重塑血肉</t>
  </si>
  <si>
    <t>你可以消耗你的邪术师法术位施展一个变形术polyorph。你必须完成一次长休才能再次施展该法术。
先决条件：第7级</t>
  </si>
  <si>
    <t>幻术学者</t>
  </si>
  <si>
    <t>从第2级你选择该学派起，你向法术书中抄写幻术系法术的时间和金钱花费减半。</t>
  </si>
  <si>
    <t>实验性灵药</t>
  </si>
  <si>
    <t xml:space="preserve">第3级起，每当你完成一次长休，你能在一个你接触的空的 扁瓶flask 中魔法性的制造出一瓶实验性灵药通过实验性灵药表来掷骰决定这瓶灵药在被某人饮用时的效果。
生物能以一个动作饮用这瓶灵药、或是将灵药灌给一个失能生物饮用。
你能通过消耗一枚1环或更高环的法术位来制造额外的实验性灵药。
此时，你以一个动作接触一个空的 扁瓶flask ，在其中充入灵药，然后从实验性灵药表中选择这瓶灵药的效果。
你必须要拥有炼金工具才能制造实验性灵药，你通过此特性创造的任何灵药会一直存在，直到被饮用、或是你的下一次长休结束时。
当你在本职业达到某些特定等级时，你将能够在长休结束时制造更多灵药：6级时2瓶，15级时3瓶。
每一瓶灵药都需要掷骰决定效果，且都需要用独立的 扁瓶flask 盛放。
实验性灵药
d6 效果 
1 治疗。饮用者恢复等同于 2d4+你智力调整值 的生命值。 
2 疾速。饮用者的速度增加10尺，持续1小时。 
3 韧性。饮用者的AC获得+1加值，持续10分钟。 
4 气魄。饮用者在接下来的一分钟内，能够在每个攻击检定与豁免检定中投掷一枚d4并将结果加入到检定中。 
5 飞行。饮用者获得10尺飞行速度，持续10分钟。 
6 变形。饮用者的身体产生如同受到法术变身术Alter Self一样的变化。法术的变化具体怎样由饮用者决定，该效果会持续10分钟。 </t>
  </si>
  <si>
    <t>战狂冲锋</t>
  </si>
  <si>
    <t xml:space="preserve">从10级起，你在狂暴期间可以以附赠动作执行疾走动作。 </t>
  </si>
  <si>
    <t>造物表演</t>
  </si>
  <si>
    <t>第3级起，以一个动作，你可以引导造物之歌的魔力来创造一个你选择的非魔法物品，它会在你选择的距离你10尺内的一处未被占据的空间里生成。它必须要生成在液体中或是表面上的一个可以支撑它的地方。这件物品的价值不能超过你吟游诗人等级的二十倍gp，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2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你创造的物品都大小限制会随着你的吟游诗人等级提高而增长。6级时你可以创造出大型物品，14级时你可以创造去巨型物品。</t>
  </si>
  <si>
    <t>第8级起，你可以使你的武器充满神圣能量。你在每个自己回合里有一次机会，可以在用武器攻击命中某生物时，使该攻击额外造成1d8点冷冻，火焰或闪电伤害（由你选择）。14级时，该伤害提升到2d8。</t>
  </si>
  <si>
    <t>真菌之躯</t>
  </si>
  <si>
    <t>在14级，你体内的真菌改变了你：你不再会被目盲，耳聋，恐慌，或中毒；若一次攻击对你造成重击，它不会对你造成额外伤害除非你处于失能状态。</t>
  </si>
  <si>
    <t>快手投掷</t>
  </si>
  <si>
    <t>以一个附赠动作，你能消耗一枚卓越骰以一件具有投掷属性的武器进行一次远程攻击。在进行此攻击时，你能拔出一把投掷武器作为攻击的一部分。如果此次攻击命中，你能将消耗的卓越骰加入此次攻击的伤害掷骰中。</t>
  </si>
  <si>
    <t>凝气刚拳</t>
  </si>
  <si>
    <t>你可以将大气凝聚成拳进行打击。作为一个动作，你可以消耗2点气并指定一个在你身边30尺内的生物。
该生物必须进行一次力量豁免，豁免失败者将受到3d10点钝击伤害，此外你每额外消耗1点气则再增加1d10点钝击伤害，并且可以将目标从远离你的方向推开至多20尺再使其倒地。豁免成功则伤害减半，且不会被推离和击倒。</t>
  </si>
  <si>
    <t>救赎圣誓法术</t>
  </si>
  <si>
    <t>圣武士等级——法术
3——庇护术，睡眠术
5——安定心神，人类定身术
9——法术反制，催眠图纹
13——欧提路克弹力法球，石肤术
17——怪物定身术，力墙术</t>
  </si>
  <si>
    <t>闪现打击</t>
  </si>
  <si>
    <t>在11级时，你能够在眨眼之间穿梭于两个位置。
当你进行攻击动作时，你能够在每一次攻击前传送10尺到一片对你可见的空地上。
如果你用一个动作攻击了至少两名不同的角色，你可以额外攻击一次第三名角色。</t>
  </si>
  <si>
    <t>洞察力</t>
  </si>
  <si>
    <t>从第9级开始，如果你至少花1分钟观察或与战斗之外的其他生物进行交互，你可以了解到跟你自己的能力相比较的某些信息。
DM告诉你，在你选择的下列两个特征中，是否你的相等、优越或低等：
智力值
感知值
魅力值
职业等级（如果有的话）
如果你的DM允许，你也有可能知道这个生物的一段经历或者它的一个性格特征，如果它有的话。</t>
  </si>
  <si>
    <t>神秘复原</t>
  </si>
  <si>
    <t>18级起，你具备了克服重伤的能力。
当你的hp不足一半时，以一个附赠动作，你可以获得等同于你一半生命值的生命。
一旦你使用了这个特性，你就不能再使用它，直到你完成一次长休息。</t>
  </si>
  <si>
    <t>凶兆符记</t>
  </si>
  <si>
    <t>你可以消耗你的邪术师法术位施展一个降咒bestow curse。你必须完成一次长休才能再次施展该法术。
先决条件：第5级</t>
  </si>
  <si>
    <t>精通次级幻影</t>
  </si>
  <si>
    <t>从第2级你选择该学派起，你习得戏法次级幻影。
如果你已学会此戏法，则你可以学习另一个自选的法师戏法。
该戏法不计入你的已知戏法数目限制。
你施展戏法次级幻影时，可以在一次施法中同时创造出声音和影像。</t>
  </si>
  <si>
    <t>炼金术掌握</t>
  </si>
  <si>
    <t>第5级起，你对魔法化学物质的掌握变得非常熟练，这使得你通过炼金物质造成的治疗和伤害更加有效。
当你使用炼金工具作为法器施展任何法术时，你在法术的一次掷骰中获得等同于你的智力调整值（最低+1）的加值。该掷骰必须是恢复的生命值量，或是造成强酸、火焰、黯蚀、或毒素伤害。</t>
  </si>
  <si>
    <t>钉刺反冲</t>
  </si>
  <si>
    <t xml:space="preserve">从14级起，狂暴期间，若你未处于失能状态、且穿着钉刺甲，当你周围5尺范围内有生物用近战攻击命中你时，攻击者将受到3点穿刺伤害。 </t>
  </si>
  <si>
    <t>活化表演</t>
  </si>
  <si>
    <t>第6级起，以一个动作，你可以选择你30尺内一个你可以看见大型或者更小的非魔法物品，赋予其生命。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它将持续保持活性一个小时，如果期间其生命值降低为0，或者你死亡，则该物品失去活性。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你可以消耗一个3环或者更高级的法术位去重制这个能力的使用次数。
你同时只能保持一件以此法被活化的物品，如果在你使用这个能力活化物品时已经有一件被活化的物品了，那么那个旧的物品会立刻停止不动，变回死物。</t>
  </si>
  <si>
    <t>自然大师</t>
  </si>
  <si>
    <t>第17级起，你获得命令动物和植物生物的能力。
当生物受你的魅惑动植物特性魅惑时，你可以在自己回合内执行一个附赠动作并发出一个口头指令，而所有这些受魅惑生物都将在其下一回合执行该指令。</t>
  </si>
  <si>
    <t>星图</t>
  </si>
  <si>
    <t xml:space="preserve">第2级起，作为你天文学研究的一部分，你创造了一张星图。它是一个微型物体，可以用作你施展德鲁伊法术时的法器。你通过在星图列表上掷骰或选择一个来确定它的形态。
当你持握这件星图时，你获得这些好处：
• 你习得戏法 神导术guidance
• 你时刻准备着 光导箭guiding bolt这个法术，它对你来说视为一个德鲁伊法术，且不计入你的每日准备法术上限。
• 你可以施展数次 光导箭guiding bolt 无而无需消耗法术位。其次数等同于你的熟练加值次，在你完成一次长休后你会重获全部已消耗使用次数。
如果你丢失了星图，你可以举行一场为时一小时的仪式来使用魔法创造一个替代品。这一仪式可以在一场短休或长休时举行，并会摧毁先前的星图。
星图形态
D6——星图样式 
1：一幅布满星座图列的卷轴。 
2：一块钻有细孔的石板 
3：一张斑点枭熊皮，标有凸痕记号 
4：一套黑檀木封皮地图集 
5：一块遇光会投射出星辰轨迹的水晶 
6：描绘星座排列的玻璃圆盘 </t>
  </si>
  <si>
    <t>战术预估</t>
  </si>
  <si>
    <t>当你进行一次智力（调查）、智力（历史）或感知（洞悉）检定时，你能够消耗一枚卓越骰，将消耗的卓越骰加入此次属性检定中。</t>
  </si>
  <si>
    <t>凤凰烈焰</t>
  </si>
  <si>
    <t>你可以消耗4点气施展火球术。（需11级）</t>
  </si>
  <si>
    <t>引导神力-救赎</t>
  </si>
  <si>
    <t>在3级选择本誓言时，你获得以下两种引导神力选项。
引导神力如何运作，参见神圣誓约职业特性。
和平使节：你可以使用你的引导神力来以神圣力量增强自己的存在。
以一个附赠动作，你为自己在接下来的10分钟内进行的下次魅力（说服）检定中提供+5加值。
斥喝暴力：你可以使用你的引导神力来斥喝那些使用暴力的人。
当一个处于你周围30英尺内的敌人以一次攻击对一个你之外的生物造成伤害时，以一个反应，你强迫攻击者进行一次感知豁免检定。
检定失败则攻击者受到等同于其刚刚造成的伤害的光耀伤害。
成功则受到一半伤害。</t>
  </si>
  <si>
    <t>虚体防御</t>
  </si>
  <si>
    <t>15级时，你的空间传送能力能让你在战斗中流转于空间边缘以减少伤害。当你受到一次攻击伤害时，你可以用你的反应来给予你对那次攻击全部伤害的抗性在这一回合。</t>
  </si>
  <si>
    <t>误导</t>
  </si>
  <si>
    <t>从13级起，你的急才有时候能让另一个生物代替你承受攻击。
每当你成为一次攻击的目标，并且在你的5尺距离内有生物为你对抗这次攻击提供了掩蔽，你可以使用你的反应将这次攻击的目标转移给这个生物。</t>
  </si>
  <si>
    <t>幽暗之瞳</t>
  </si>
  <si>
    <t>1级起你获得120尺黑暗视觉。
当你在该职业3级时，你掌握了黑暗术，这不会占用你术士已知法术数量。
你可以用2点术法点或1个法术位来释放。
当你用法术点施法时，你能够看穿该法术所制造的黑暗。</t>
  </si>
  <si>
    <t>命运窃贼</t>
  </si>
  <si>
    <t>你可以消耗你的邪术师法术位施展一个灾祸术bane。你必须完成一次长休才能再施展该法术。</t>
  </si>
  <si>
    <t>易变幻象</t>
  </si>
  <si>
    <t>第6级起，你施展持续时间不少于1分钟的幻术系法术时，可以用你的动作改变幻象的外形（仍需遵守相应法术的描述），前提是你必须可以看见该幻象。</t>
  </si>
  <si>
    <t>复原药剂</t>
  </si>
  <si>
    <t>第9级起，你可以在你的一些作品中加入复原药剂：
• 每当一个生物饮用一瓶你制造的实验性灵药时，生物都将获得 2d6+你智力调整值 的临时生命值（至少1点临时生命点）。
• 只要你使用炼金工具作为你的法器，你就可以在不花费法术位、无需准备的情况下施展 次级复原术Lesser Restoration 。你能够这么做的次数等于你的智力调整值（最少1次），当你完成一次长休后，你恢复所有已被消耗的次数。</t>
  </si>
  <si>
    <t>魔法察觉</t>
  </si>
  <si>
    <t>第3级起，以一个动作，你让你的感官对聚集的魔力的存在保持警觉。直到你的下一个回合结束前，你可以知晓60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</si>
  <si>
    <t>渐强创音</t>
  </si>
  <si>
    <t>第14级起，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</si>
  <si>
    <t>风暴领域法术</t>
  </si>
  <si>
    <t>牧师等级——法术
1st——云雾术、雷鸣波
3rd——造风术、粉碎音波
5th——召雷术、雪雨暴
7th——操控水体、冰风暴
9th——湮灭波、疫病虫群</t>
  </si>
  <si>
    <t>星耀形态</t>
  </si>
  <si>
    <t>第2级起，以一个附赠动作，你可以消耗一次荒野形态特性使用次数以呈现一个星耀形态，而非变化为野兽形态。
当处于星耀形态时，你保留你的游戏数据，但你的身体变得明亮；你的关节星光熠熠并有如星图一般由亮线连接。这一形态散发出10尺半径的明亮光照以及其外10尺的昏暗光照。这一形态持续10分钟。如果你解除它（无需动作）、失能、死亡、或再次使用此特性，它就会提前结束。
每当你化身星耀形态时，你选择以下在你身上闪耀的星座旨意；你的选择将为你在形态中提供特定的增益：
• 射手座Archer。 一个弓箭射手的星座于你身上浮现。当你激活这个形态时，你可以进行一次远程法术攻击，对你60尺内的一个生物射出一发光箭。命中时，此攻击将造成等同于1d8+你的感知调整值点的光耀伤害。你也可以在它结束前的后续回合中以一个附赠动作再次进行这一攻击。
• 圣杯座Chalice。一个予命圣杯的星座于你身上浮现。当你消耗法术位施展法术时，你或你周围30尺内的另一生物可以恢复等同于 1d8+你的感知调整值 点的生命值。那个法术必须是能为生物恢复生命值的法术。
• 巨龙座Dragon。 一个智慧巨龙的星座于你身上浮现。当你进行一次智力或感知检定，或是进行一次体质豁免来维持法术专注时，你可以将d20 中9或以下的骰值视为10。</t>
  </si>
  <si>
    <t>第3级时，你学会以武斗技术施展法术的能力。
参考第10章的施法规则，以及第11章的法师法术列表。</t>
  </si>
  <si>
    <t>狮吼功</t>
  </si>
  <si>
    <t>你可以消耗3点气施展粉碎音波。（需6级）</t>
  </si>
  <si>
    <t>护卫光环</t>
  </si>
  <si>
    <t>从7级起，你可以以自己的健康为代价保护盟友免受伤害。
当一个处于你10尺内的生物受到伤害时，你可以用一个反应动作，魔法性地使你代替该生物承受此伤害。
此特性不会传递任何该伤害可能附带的效果，该伤害也无法被任何方式减少。
在18级，此光环的距离增加到30英尺。</t>
  </si>
  <si>
    <t>怪物杀手魔法</t>
  </si>
  <si>
    <t>3级起，你学会一个额外法术当你到达指定游侠等级时，如怪物杀手法术列表所示。
这些法术对你视为游侠法术，它不计入你的已知法术总数中。
游侠等级——法术
3级——防护善恶
5级——诚实之域
9级——防护法阵
13级——放逐术
17级——怪物定身术</t>
  </si>
  <si>
    <t>心灵欺骗</t>
  </si>
  <si>
    <t>从17级起，除非你允许，否则你的思想不能被心灵感应或者其他能力阅读。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</si>
  <si>
    <t>终焉之力</t>
  </si>
  <si>
    <t>1级起，存在于生和死的朦胧状态中使得你难以被击败。
当生命值被降至0点时，你可以通过一个DC=该次所受伤害+5的魅力豁免。
若豁免成功，作为代替你的生命值被降至1点。
若该次伤害为光耀或重击时你不可使用此能力。
当你通过豁免后直到下一次长休前不能再使用此能力。</t>
  </si>
  <si>
    <t>饥渴魔刃</t>
  </si>
  <si>
    <t>当你自身回合内使用契约武器执行攻击动作时，你可以发动两次攻击而非一次。
先决条件：第5级，刃之魔契</t>
  </si>
  <si>
    <t>幻影化形</t>
  </si>
  <si>
    <t>第10级起，你可以如同本能反应般，瞬间创造出一个自身的幻象分身以应对危险。
当一个生物对你发动攻击检定时，你可以用你的反应，在攻击者和你之间插入你自身的幻象分身。
攻击者对你的攻击将直接判为未命中，幻象分身也随即消失。
你必须完成一次长休或短休后才能再次使用该特性。</t>
  </si>
  <si>
    <t>化学专家</t>
  </si>
  <si>
    <t>第15级起，你已经接触了太多的化学物质，并解开了它们的秘密，它们对你的危害很小，你可以使用它们来迅速治愈某些疾病：
• 你获得了对强酸伤害和毒素伤害的抗性，并且你免疫于中毒状态。
• 只要你使用炼金工具作为你的法器，就能够在不消费法术位、不需要准备、不需要材料成分的情况下施展 高级复原术Greater Restoration 与 医疗术heal。一旦你通过此特性施展这些法术中的一个，你就不能再以这种方式施展那个法术，直到你完成一次长休。</t>
  </si>
  <si>
    <t>狂野浪潮</t>
  </si>
  <si>
    <t xml:space="preserve">第3级起，你体内那翻滚不息的魔法能量有时会从你身上爆发出来。当你进入狂暴时，投掷下方的狂野魔法列表中决定它所产生的魔法效应。
如果这个狂野魔法需要进行豁免检定，则其DC等于8+你的熟练加值+你的体质调整值。
狂野魔法
D8 魔法效果
 1 阴暗的卷须在你身边疯狂挥舞。在你能看到的30尺内由你选择的生物都必须进行一次体质豁免，如果失败，则将受到1d12的暗蚀伤害。此外。你还会立刻获得1d12点临时生命值。 
 2 你可以传送至多30尺到一个未被占据的、你可以看见的空间。直至你的狂暴结束为止，你的每个回合都可以再用一个附赠动作，再次发动这个效果。 
 3 一个看起来像呋噜或者皮克精（由你决定）的不定形精魂，出现在一个你30尺内可以看到的生物的5尺以内。并且在当前回合结束时，这个精魂会爆炸，所有它周围5尺范围内的生物都必须通过一次敏捷豁免，若失败将承受1d6的力场伤害。直至你的狂暴结束为止，你的每个回合都可以再用一个附赠动作，再次发动这个效果。 
 4 魔力与你正持握着的一件武器（由你选择）紧紧相融在一起。直至你的狂暴结束为止，这把武器的伤害类型转变为力场伤害，并且获得 轻型 和 投掷 的属性，其投掷射程为常规20尺与最大60尺。如果这把武器脱离了你的手，它将会在脱离的同一回合结束时重新出现在你的手中。 
 5 直至你的狂暴结束为止，每当一个生物以攻击检定击中了你，你身上的魔力将抽打反击它，对其造成1d6的力场伤害。 
 6 直至你的狂暴结束为止，你将被彩色的防护光芒环绕，使你的AC获得+1加值。在你10尺内的盟友也可以享受到相同的AC加值。 
 7 你身边将不断临时生长出花朵与藤蔓。直至你的狂暴结束为止，你周围15尺的地面对你的敌人来说变为困难地形。 
 8 一束光从你胸膛射出。你所选择的30尺内的你可以看到的另一个生物必须进行一次体质豁免，如果失败，将会受到1d6的光耀伤害，并陷入 目盲blinded ，直到你的下一个回合开始前。直至你的狂暴结束为止，你的每个回合都可以再用一个附赠动作，再次发动这个效果。 </t>
  </si>
  <si>
    <t>巧舌如簧</t>
  </si>
  <si>
    <t>第3级起，你是语言的大师，懂得在合适的时刻说出正确的话语。当你在进行一次魅力（游说/说服）检定或魅力（欺瞒）检定时，如果你可以将9或更低的骰值全部视为10。</t>
  </si>
  <si>
    <t>第1级起，你获得军用武器和重甲的熟练项。</t>
  </si>
  <si>
    <t>宇宙预兆</t>
  </si>
  <si>
    <t>第6级起，每当你完成一次长休，你可以参照你的星图来寻找预兆。此时，掷一枚骰子。直到你完成下一次长休为止，你获得一个基于此掷骰结果奇偶性的特殊反应能力。
• 吉兆Weal（奇数）。 当你周围30尺内的一个可见生物进行一次攻击检定、豁免检定、或属性检定，你可以使用你的反应来骰一个d6，并将结果加入到检定结果中。
• 凶兆Woe（偶数）。 当你周围30尺内的一个可见生物进行一次攻击检定、豁免检定、或属性检定，你可以使用你的反应来骰一个d6，并将结果从检定结果中减去。
你可以使用这一反应能力的次数等同于你的熟练加值次，在你完成一次长休后，你会重获全部已消耗的使用次数。</t>
  </si>
  <si>
    <t>你从法师法术列表中选择两个戏法作为已知法术。
第10级时，你再获得一个额外的法师戏法。</t>
  </si>
  <si>
    <t>云雾势</t>
  </si>
  <si>
    <t>你可以消耗4点气对自身施展气化形体。（需11级）</t>
  </si>
  <si>
    <t>守护之魂</t>
  </si>
  <si>
    <t>从15级起，神圣的实体在战斗中为你治疗伤口。
若你在战斗中结束你的回合时，剩余的生命值少于一半，且你未处于失能状态，则你恢复等于1d6+你圣武士等级一半的生命值。</t>
  </si>
  <si>
    <t>猎人感知</t>
  </si>
  <si>
    <t>3级起，你获得了观察生物并魔法性地分析出最佳狩猎方式的能力。
以一个动作，选择一名60尺范围内对你可见的角色。你立刻知晓该角色的伤害免疫，抗性和易伤。
如果该角色被预言系魔法覆盖，你感觉它没有任何伤害免疫，抗性和易伤。
你能使用该特性的次数等同于你的感知调整值（至少为1）。
你重新获得所有使用过的次数当你完成一次长休时。</t>
  </si>
  <si>
    <t>散兵战术</t>
  </si>
  <si>
    <t>从3级起，你在战斗中变得难以被压制。
当一个敌人在你周围5英尺内结束其回合时，你可以以一个反应移动至多你速度的一半。
此移动不会导致借机攻击。</t>
  </si>
  <si>
    <t>凶兆猎犬</t>
  </si>
  <si>
    <t>6级时，你获得一种能力，你能够驱使嚎叫的幽暗生物来折磨你的敌人的。
你可以以一个附赠动作消耗3点术法点选择一个120尺内你可见的生物作为目标，用魔法召唤一头凶兆猎犬的猎犬去猎杀它。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如果当猎犬的回合结束时处于某个物体内则会受到5点的力场伤害。
当猎犬的回合开始时，自动知晓猎物的所在。
如果目标处于躲藏状态，它对猎犬来说不再处于该状态。
猎犬被召唤时出现在目标30尺内一个由你选择的空间。
为猎犬投掷先攻。
当猎犬行动时，它只能以最短路径冲向目标猎物，以及只能在攻击目标猎物时执行动作。
猎犬可以使用借机攻击，但对象只能是目标猎物。
此外，当凶兆猎犬在目标猎物5尺内时，目标对你所释放的任何法术的豁免上都承受劣势。
凶兆猎犬会在它自己降为0血、猎物降为0血或5分钟后消失。</t>
  </si>
  <si>
    <t>穹宇尽视</t>
  </si>
  <si>
    <t>你可以随意施展秘法眼arcane eye，且无需消耗法术位。
先决条件：第15级</t>
  </si>
  <si>
    <t>亦真亦幻</t>
  </si>
  <si>
    <t>第14级起，你学会将暗影魔法编入幻术中的秘法，并以此使你的幻术获得半真实的效果。
你施展一个1环或更高环阶的幻术系法术时，可以选择幻象中一个非活化的非魔法物件，并让该物件化作真实。
你可以在自己回合中，相应法术持续时间内以一个附赠动作完成此事。
被指定的物件将在接下来1分钟内保持真实。
例如，你可以用幻术创造出一座桥梁横跨峡谷，而后将之化作真实以让你的队友在持续时间内穿行于桥面。
被化作真实的物件无法造成伤害，也无法以任何其他方式直接伤害任何事物。</t>
  </si>
  <si>
    <t>当你在第三级选择此专业时，你获得木匠工具的熟练。
如果你已经拥有此熟练，作为代替，你能获得另一种工匠工具的熟练。</t>
  </si>
  <si>
    <t>振奋魔法</t>
  </si>
  <si>
    <t>第6级起，你可以控制你的狂野魔法并用于振奋自己或者一个同伴。以一个动作，你触碰一个生物（可以是你自己）并且为该生物提供以下增益中你所选择的一种：
• 10分钟内，该生物在投掷攻击检定或者属性检定时可以额外掷一枚d3，将其加到所扔的d20中。
• 掷一枚d3。这个生物将恢复一个环数小于等于所掷出骰子的结果的法术位（由这个生物决定具体的环阶）。当一个生物享受了这一增益后，直到下一次长休结束前那个生物都不能再次从此特性中获益。 
你可以使用此能力的次数等同于你的熟练加值次，完成一次长休后，你重获全部已消耗的使用次数。</t>
  </si>
  <si>
    <t>扰神之词</t>
  </si>
  <si>
    <t>第3级起，你可以编造一些带有魔力的话语，扰乱一个生物的心神，使其自我怀疑。消耗一个附赠动作，你可以消耗一个诗人激励骰，选择一个你可见的距你60尺以内的生物。掷出诗人激励骰，在你的下一个回合开始前，该生物的下一次豁免检定将会减去这个激励骰所投出的值。</t>
  </si>
  <si>
    <t>风暴狂怒</t>
  </si>
  <si>
    <t>第1级起，你可以用雷霆驱逐攻击者。
身处你周边5尺范围内一个你能看见的生物攻击命中你时，你可以用你的反应迫使该生物进行一次敏捷豁免。豁免失败者将受到2d8点闪电或雷鸣伤害（由你选择），豁免成功则伤害减半。
你可以使用该特性的次数等于你的感知调整值（至少为一次）。而你将在完成一次长休后重新恢复所有的使用次数。</t>
  </si>
  <si>
    <t>闪耀星座</t>
  </si>
  <si>
    <t>第10级起，你的星耀形态星座增强了。射手座和圣杯座中的1d8都变成了2d8，而在巨龙座激活期间，你将获得20尺的飞行速度，并且可以悬浮。
不止如此，每个你的回合开始时，若此时你处于在星耀形态下，你可以更改当前身上闪耀的星座。</t>
  </si>
  <si>
    <t>“奥法骑士施法能力”表中列出了你用以施展你的法师法术的1环及更高环阶法术位数量。
施展这些法术时，你必须同时消耗一个不低于该法术环阶的法术位。
而已消耗的法术位可以通过完成一次长休进行恢复。
例如，若你已知1环法术护盾术，并且拥有一枚可用的1环法术位和一枚可用的2环法术位，则你可以用两者之一施展护盾术。</t>
  </si>
  <si>
    <t>攀云步</t>
  </si>
  <si>
    <t>你可以消耗4点气对自身施展飞行术。（需11级）</t>
  </si>
  <si>
    <t>救赎使节</t>
  </si>
  <si>
    <t>在20级时，你成为了和平的化身，使你获得下述好处：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</si>
  <si>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狩猎开始</t>
  </si>
  <si>
    <t>3级起，你能够专注于你的一名敌人，来增加你对它的伤害。
以一个附赠动作，你选择一名60尺范围内对你可见角色作为该特性的目标。
每回合你以一次武器攻击第一次击中该目标，它额外受到1d6的武器伤害。
该收益持续到你完成一次短休或者长休。
如果你选择一名不同的目标，它会提前结束。</t>
  </si>
  <si>
    <t>生存专家</t>
  </si>
  <si>
    <t>当你在3级时选择此范型时，你得到对于自然和生存技能的熟练。
当使用上述熟练进行的任何属性检定中，你的熟练加值加倍。</t>
  </si>
  <si>
    <t>幽影漫步</t>
  </si>
  <si>
    <t>14级时，你获得在暗影间穿梭的能力。
当你处于微光或黑暗中时，以一个附赠动作你可以魔法地将自己传送至120尺内另一处未被占据并自己可见的微光或黑暗中。</t>
  </si>
  <si>
    <t>缚主之音</t>
  </si>
  <si>
    <t>只要你与你的魔宠处于同一位面，你就可以用心灵感应与其进行交流，以及使用其感官感知世界。此外，当你通过魔宠的感官感知时，你可以通过魔宠用你自己的声音说话，而不论你的魔宠是否能够说话。
先决条件：链之魔契</t>
  </si>
  <si>
    <t>死灵学者</t>
  </si>
  <si>
    <t>从第2级你选择该学派起，你向法术书中抄写死灵系法术的时间和金钱花费减半。</t>
  </si>
  <si>
    <t>魔炮师法术</t>
  </si>
  <si>
    <t>第3级起，只要你达到相应的职业等级，魔炮师法术表格中的法术总是被视为已准备。
这些法术对你来说是奇械师法术，且不会计入你可以准备法术的总数。
奇械师等级 法术
3级 护盾术，雷鸣波
5级 灼热射线，粉碎音波
9级 火球术，风墙术
13级 冰风暴，火墙术
17级 寒冰锥，力墙术</t>
  </si>
  <si>
    <t>无常反冲</t>
  </si>
  <si>
    <t>第10级起，在你狂暴期间，如果你受到危险，你体内的魔法会猛烈爆发。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</si>
  <si>
    <t>不竭鼓舞</t>
  </si>
  <si>
    <t>第6级起，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</si>
  <si>
    <t>引导神力：毁灭狂怒</t>
  </si>
  <si>
    <t>第2级起，你可以用引导神力特性为自己装备无拘束的凶猛风暴之力。
当你造成闪电或雷鸣伤害时，可以使用引导神力使该伤害的伤害掷骰直接取最高值而无需掷骰。</t>
  </si>
  <si>
    <t>灿若繁星</t>
  </si>
  <si>
    <t>第14级起，当你处于星耀形态时，你的身体部分无实质化，使你获得钝击、穿刺、与挥砍伤害的抗性。</t>
  </si>
  <si>
    <t>你习得三个自选的1环法师法术，其中两个必须从防护系和塑能系中选择。
表格“奥法骑士施法能力”中“已知法术”一栏记录了你获得更多已知法术时的相应等级。
你只能选择防护系或塑能系法术，且所获得法术的环阶不能超过你所拥有的最高法术位环阶。
例如，如果你在本职业达到第7级，则可以学习一个新的1环法术或2环法术。
在第8、14和20级时，你可以学习任何学派的法术。
你每次提升本职业等级时，可以将一个已知法术替换为另一个法师法术。
这个新法术的环阶不能超过你所拥有的最高法术位的环阶，且必须从防护系或塑能系中选择（除非你替换的是第3、第8、第14和第20级时习得的任何学派法术）。</t>
  </si>
  <si>
    <t>噬焰流</t>
  </si>
  <si>
    <t>你可以消耗5点气施展火墙术。（需17级）</t>
  </si>
  <si>
    <t>王冠圣誓法术</t>
  </si>
  <si>
    <t>3rd  命令术，强制决斗。
5th  守护之链，诚实之域
9th  活力灵光，灵体卫士
13th 放逐术，信仰守卫
17th 威力法阵，指使术</t>
  </si>
  <si>
    <t>卓越防守</t>
  </si>
  <si>
    <t>7级时，对于你的猎物对你的身体和精神的攻击，你拥有额外韧性。
无论何时你的狩猎开始特性目标使你做出一个豁免投和你做一次技能检定来脱离目标的擒抱，加1d6到你的那次投掷上。</t>
  </si>
  <si>
    <t>优异灵活</t>
  </si>
  <si>
    <t>在9级时，你的行走速度增加10英尺。
若你具有攀爬或游泳速度，这个能力也会增加在这些速度上。</t>
  </si>
  <si>
    <t>幽暗形态</t>
  </si>
  <si>
    <t>18级时，你可以耗费6点术法点以一个附赠动作魔法地将自己转变为暗影形态。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若回合结束时你处于某个物体内则会受到5点的力场伤害。
你能维持这种状态1分钟。
当你以一个附赠动作来解除暗影形态、处于失能或死亡时会提前结束状态效果。</t>
  </si>
  <si>
    <t>坟墓低语</t>
  </si>
  <si>
    <t>你可以随意施展法术死者交谈speak with dead，且无需消耗法术位。
先决条件：第9级</t>
  </si>
  <si>
    <t>惧怖收割</t>
  </si>
  <si>
    <t>第2级时，你可以在用法术杀死敌人时汲取其生命能量。
你每回合有一次机会，在以一个环阶不低于1环的法术杀死一个或多个生物时，可以恢复等于该法术环阶两倍的生命值。
如果你使用的是死灵系法术，则其恢复的生命值为法术环阶的三倍。
你以此杀死不死生物或构装生物时，无法从该特性获得任何益处。</t>
  </si>
  <si>
    <t>魔能炮台</t>
  </si>
  <si>
    <t>第3级起，你习得了如何制造一个魔法炮台。
使用你的木匠工具或铁匠工具，你能用一个动作在距离你5尺且没被占据的水平空间内魔法性地召唤出一架小型或微型炮台。小型魔能炮台会占据它所在的方格，而微型炮台能用一只手持用。
当你创造炮台后，直到你完成一次长休前你都不能再创造它，或者你也可以通过消耗一个法术位来创造它。
你只能同时拥有一个炮台，在上一个炮台还在的情况下你不能创造第二个炮台。
炮台是一个魔法物件。不论尺寸，它的AC都是18，而其生命值是你奇械师等级的5倍。
它免疫于毒素伤害和心灵伤害。如果它被迫进行属性检定或豁免检定，则将其所有属性都视为10(+0)。如果一个法术 修复术mending 被施展到它身上，它将恢复2d6生命值。炮台在生命值降低到0或1小时后消失。你也可以以一个动作来提早让它消失。
当你制造炮台时，你决定它的外观，以及是否有腿。你还需要决定它的类型——从下方的魔能炮台列表中选择一项。
在你的每个回合中，只要你离炮台不到60尺，你就能以一个附赠动作来使炮台激活。作为该附赠动作的一部分，你还可以引导有腿的炮台步行或攀爬到15尺内的一处未被占据的空间中。
魔能炮台
炮台：描述
投火机：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
力场弩炮：对一个距离炮台120尺以内的生物或物体进行远程法术攻击。击中时，目标受到2d8力场伤害，如果目标是一个生物，它将向远离炮台的方向推开5尺。
防御者：炮台释放出一股正能量，给予它自己和10尺距离内每个你选择的生物1d8+你智力调整值的临时生命值（最低+1）。</t>
  </si>
  <si>
    <t>掌控浪潮</t>
  </si>
  <si>
    <t>第14级起，每当你投掷狂野魔法表时，你可以掷两次骰子并且选择其中之一作为生效的狂野魔法效应。
如果你掷出的两个骰子数值相同，那么你可以无视这个数字，任选表中的一个效应生效。</t>
  </si>
  <si>
    <t>统一言说</t>
  </si>
  <si>
    <t>第6级起，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</si>
  <si>
    <t>雷鸣打击</t>
  </si>
  <si>
    <t>第6级起，当你对一个大型或更小体型的生物造成闪电伤害时，你还可以同时将其往远离你的方向推动至多10尺。</t>
  </si>
  <si>
    <t>野火法术</t>
  </si>
  <si>
    <t xml:space="preserve">从2级起，你与野火精魂——一位兼具创生和毁灭的原初存在——之间的神秘连接业已形成。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 - 扩展法术 
Lv.2 - 燃烧之手，疗伤术 
Lv.3 - 炽焰法球，灼热射线 
Lv.5 - 植物滋长，回生术 
Lv.7 - 生命灵光，火焰护盾 
Lv.9 - 焰击术，群体疗伤术 </t>
  </si>
  <si>
    <t>你通过研究和记忆学习魔法，因此智力是你施展法师法术的关键属性。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</si>
  <si>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风灵突进</t>
  </si>
  <si>
    <t>你可以消耗2点气施展造风术。</t>
  </si>
  <si>
    <t>引导神力-王冠</t>
  </si>
  <si>
    <t>从3级起，若选取此誓言，你获得以下引导神力选项。
捍卫挑战：以一个附赠动作，你发出挑战逼迫其他生物与你战斗。
你可以选择30尺内任意数量你可以看见的生物，他们每一个都必须要通过一次感知豁免。
如果豁免失败，那个生物将不能自愿从你周围30尺范围离开。
如果你死亡，或者你失能，或者生物与你距离超过30尺，则此效果终结。
扭转局势：以一个附赠动作，你可以引导神力支撑受伤的生物继续战斗。
你可以选择你周围30尺内任意数量可以听见你说话的生物，如果他们生命值在一半以下，他们将立即恢复1d6+你的魅力调整值（最小为1点）的生命值。</t>
  </si>
  <si>
    <t>魔法克星</t>
  </si>
  <si>
    <t>11级时，你获得打断其他人的魔法的能力。
60尺内，当你看到一名角色使用法术或者传送，你可以用你的反应魔法性地来尝试打断它。
角色必须成功通过一个难度等同于你的施法DC的感知豁免，否则它的法术和传送失败并浪费。
你使用该特性后，不能再次使用它直到你完成一次短休或者长休。</t>
  </si>
  <si>
    <t>突袭大师</t>
  </si>
  <si>
    <t>从13级起，你精通于引领突袭，在战斗中首先行动。
你在先攻检定时具有优势。
此外，在第一轮战斗中你所命中的第一个生物对你和其他人而言会变得更容易打击；直到你下一回合开始之前，所有对它进行的攻击检定具有优势。</t>
  </si>
  <si>
    <t>风语者</t>
  </si>
  <si>
    <t>从1级起，你操纵的奥术魔法浸染着风元素之力。
你可以听、说、读、写原初语。
（了解这种语言允许你了解这些说这种语言的种族，同时你说的话也被他们理解：水族语,气族语,火族语,土族语）。</t>
  </si>
  <si>
    <t>巫术视界</t>
  </si>
  <si>
    <t>变形生物以及由幻术和变化系魔法变形的生物在你身边30尺视线范围内时，你将直接看出其真实形态。
先决条件：第15级</t>
  </si>
  <si>
    <t>不死奴仆</t>
  </si>
  <si>
    <t>第6级起，如果你法术书中未有法术操纵死尸，则将之加入法术书。
施展操纵死尸 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</si>
  <si>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奥法火器</t>
  </si>
  <si>
    <t>第5级起，你知道如何把魔杖、法杖或权杖变成一件奥法火器，一个传送你的毁灭性法术的管道。
当你完成一次长休后，你可以用木匠工具在一根魔杖、法杖或权杖上刻印一个特殊印记，从而把它变成你的奥法火器。
印记会一直存在，除非你之后在另一件物品上刻上这种印记，这样的话，之前物体上印记就会消失。
你可以将你的奥法火器作为你奇械师法术的法器。
当你通过奥法火器施放一个奇械师法术时，掷一个d8，你在法术的一次伤害检定中获得与掷骰结果相同的加值。</t>
  </si>
  <si>
    <t>野兽起源</t>
  </si>
  <si>
    <t xml:space="preserve">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野兽起源表”随机选择。
D4野兽起源
 1  你的生父或生母是一个兽化人，你也遗传了这方面的一些诅咒。 
 2  你是一位大德鲁伊的后人，并且继承了变形部分躯体的能力。 
 3  一只精类的精魂赐予你变换不同野兽形态的能力。 
 4  一只上古野兽的精魂住在你的体内，为你打开走上此道途的大门。 </t>
  </si>
  <si>
    <t>传播鼓舞</t>
  </si>
  <si>
    <t>第14级起，当你成功激励了他人之后，你那雄辩言辞的力量会散播开去。当一个距离你60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</si>
  <si>
    <t>第8级起，你可以使你的武器充满神圣能量。你在每个自己回合里有一次机会，可以在用武器攻击命中某生物时使该攻击额外造成1d8点雷鸣伤害。14级时，该伤害提升到2d8。</t>
  </si>
  <si>
    <t>召唤野火精魂</t>
  </si>
  <si>
    <t>从2级起，你能召唤出与你灵魂连接的原初精魂。
以一个动作，你可以消耗一次荒野形态使用次数召唤你的野火精魂，而不是变化为野兽形态。
精魂出现在你所选择的距离你30尺内未被占据的可见空间内。
每个精魂10尺内的生物（除你之外）在它出现时都必须成功一次对抗你法术豁免DC的敏捷豁免否则受到2d6火焰伤害。
野火精魂对你与你的同伴保持友善并遵从你的命令。
在野火精魂资料表中可以看到这只生物的游戏数据，其中几处采用了你的熟练加值（PB）。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野火精魂持续存在1小时，直到其生命值降低至0，或直到你再次使用此特性召唤此精魂，或直到你死亡。</t>
  </si>
  <si>
    <t>武器联结</t>
  </si>
  <si>
    <t>第3级时，你习得一种让你和你的武器建立魔法联结的仪式。
仪式耗时1小时，且可在短休时进行。
仪式过程中武器必须在你的触及范围内，直至仪式结束前，你都要碰触该武器以完成联结。
联结建立后，只要你不处于失能状态，使用联结武器时就不会被缴械。
如果联结武器与你处于同一位面，则你可以用一个附赠动作召唤其回到你手中。
你至多可以拥有两把建立联结的武器，但一个附赠动作只能召唤一把武器。
如果你试图和第三把武器建立联结，则必须与已经联结的一把武器取消联结。</t>
  </si>
  <si>
    <t>身化长流</t>
  </si>
  <si>
    <t>作为一个动作，你可以消耗1点气并指定你周边120尺内一块不大于30尺的冰或水的区域。你可以将该区域内的水凝为冰，反之亦可，并且还可以将区域内的冰塑造成任意的形状。你可以提高或降低冰的高度，创造或填平沟壑，竖起或放倒冰墙，或是塑造一根冰柱。这些造型的最大尺寸不能超过该区域最大边长的一半。
例如，假设你影响一块30尺的方状区域，你可以竖起的冰柱高度至多为15尺，提升或降低区域内总体高度至多15尺，创造的沟壑最深15尺，等等。你不能通过塑形冰来困住或伤害区域内的生物。</t>
  </si>
  <si>
    <t>神圣誓忠</t>
  </si>
  <si>
    <t>从7级起，如果一个在你周围5尺内的生物受到伤害，你可以使用你的反应魔法地代替目标生物承受这一次伤害，使目标不再受伤。
你不能用任何方式减少或者阻止这个伤害。</t>
  </si>
  <si>
    <t>杀手反制</t>
  </si>
  <si>
    <t>15级时，当你的猎物企图干扰你时你能够反击。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</si>
  <si>
    <t>突袭打击</t>
  </si>
  <si>
    <t>从17级起，你可以以致命的速度进行打击。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</si>
  <si>
    <t>暴风魔法</t>
  </si>
  <si>
    <t>从1级起，你与风元素魔法紧密联系起来。
每当你在你自己的行动轮内施展一个并非戏法的法术时，你可以用附赠动作导致旋转的风元素飙风围绕着你。
此时你可以飞行10尺，而不引起借机攻击。</t>
  </si>
  <si>
    <t>月之仪态</t>
  </si>
  <si>
    <t>你不再需要睡眠，同样不能以任何方式强行陷入睡眠。为了获得长休的益处，你可以在8小时内执行一些轻度活动，像是阅读你的 影之书Book of Shadows 或是放哨之类的。
先决条件：书之魔契</t>
  </si>
  <si>
    <t>不死适应</t>
  </si>
  <si>
    <t>第10级起，你对黯蚀伤害具有抗性，且你的生命值上限不会被降低。
你已经花了相当长的时间研究不死生物和驱役其力量，所以你已经可以适应其一些负面效应。</t>
  </si>
  <si>
    <t>高爆炮台</t>
  </si>
  <si>
    <t>第9级起，你制造的每一门奥法炮台都将拥有更大的破坏力：
• 所有炮台的伤害增加1d8。
• 如果你距离炮台不到60尺，你能以一个动作命令你的炮台自爆。这么做会摧毁炮台，并迫使每一个离它20尺以内的生物对你的法术豁免dc进行一次敏捷豁免检定，若豁免失败，将受到3d8力场伤害，成功的豁免检定将使伤害减半。</t>
  </si>
  <si>
    <t>野兽之形</t>
  </si>
  <si>
    <t>第3级起，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 啃咬Bite。 你的嘴变成一张野兽的血盆大口或双颚长得巨大（由你选择）。它在击中时造成1d8穿刺伤害。每个你的回合一次，当你用这一啃咬攻击命中一个生物， 并且你的生命值数值小于一半时，你能恢复等于你的熟练加值点的生命值。
• 爪击Claws。 你的双手变成利爪，它们在你手空闲时可以作为武器使用。它在击中时造成1d6挥砍伤害。此外，当你在自己的回合使用攻击动作进行了爪击，你可以追加执行一次爪击作为该攻击动作的一部分（一回合一次）。
• 尾击Tail。你长出一条如长鞭般带刺的尾巴，其造成1d8穿刺伤害，具有 触及Reach 属性。如果一个你可见的、距离你10尺以内的生物发动的攻击击中了你，你可以用反应挥起你的尾巴，骰一个d8并将骰值加在你的AC上，可能导致这次攻击打失。</t>
  </si>
  <si>
    <t>呢喃指引</t>
  </si>
  <si>
    <t>第3级起，你可以通过与精魂沟通来引导你和其他人。你习得戏法神导术guidance，且不计入你已习得的吟游诗人戏法数量。对你来说，当你施展神导术guidance时，其施法距离为60尺。</t>
  </si>
  <si>
    <t>风暴降生</t>
  </si>
  <si>
    <t>第17级起，当你不在地底或室内时，你得到等同于你步行速度的飞行速度。</t>
  </si>
  <si>
    <t>强化链接</t>
  </si>
  <si>
    <t>在6级时，你与野火精魂的连接增强了你的破坏与恢复法术。
当你在野火精魂处于召唤状态下施展一个造成火焰伤害或回复生命值的法术时，骰一个 d8，你在该法术的一次掷骰时获得等同于骰出数值的加值。
此外，当你施展一个射程非自身的法术时，该法术可以源自你或你的野火精魂。</t>
  </si>
  <si>
    <t>第7级起，当你使用动作施展戏法时，可以用附赠动作发动一次武器攻击。</t>
  </si>
  <si>
    <t>飞炎击</t>
  </si>
  <si>
    <t>你可以消耗2点气施展燃烧之手。</t>
  </si>
  <si>
    <t>顽强精神</t>
  </si>
  <si>
    <t>从15级起，你在避免陷入震慑或者麻痹状态的豁免骰中得到优势。</t>
  </si>
  <si>
    <t>蜂聚集群</t>
  </si>
  <si>
    <t>从3级起，无形自然精魂形成的集群与你形影不离并会在战斗中对你施以援手。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</si>
  <si>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梦幻舞步</t>
  </si>
  <si>
    <t>从3级起，你冲刺，攻击，摆脱这些战斗中的动作就像一串模糊的身影。
在你的回合，如果你对一个生物进行一次近身攻击，那个生物在你回合剩下的时间内无法对你进行借机攻击。</t>
  </si>
  <si>
    <t>风暴之心</t>
  </si>
  <si>
    <t>从6级起，你对闪电和雷鸣伤害获得抗力。
每当你施展一个1环或以上且造成闪电或雷鸣伤害的法术时，猛烈的魔法从你身体内爆发而出。
这次爆发导致所有10尺内你选择的可见生物（每次使用此能力都指定），都承受等于你术士等级一半的闪电或雷鸣伤害。</t>
  </si>
  <si>
    <t>飞蝇斗篷</t>
  </si>
  <si>
    <t>以一个附赠动作，你周身环绕起外观如同纷飞蚊蝇般的魔法灵光。灵光以你为中心向四周散发5尺距离，其无法穿透全掩护。灵光会一直持续到你陷入 失能Incapacitated 、或以一个附赠动作主动解消它为止。
这一灵光会使你在魅力（威吓）检定具有优势，但你进行的其他任何魅力检定都将具有劣势。任何在灵光内开始其回合的生物，会受到等同于你魅力调整值点的毒素伤害（最低0点伤害）。
使用本祈唤后，直到你完成一次短休或长休前，你都无法再次使用它。
先决条件：第5级</t>
  </si>
  <si>
    <t>命令亡灵</t>
  </si>
  <si>
    <t>第14级起，你可以用魔法夺取不死生物的控制权，甚至可以夺取其他法师所创造的不死生物。
作为一个动作，你可以指定一个在距你60尺内你能看见的不死生物。
该生物必须进行一次对抗你法师法术豁免DC的魅力豁免。
若豁免成功，则你将不能对该生物再次使用此特性。
若豁免失败，则该生物变为对你友善，并服从你的命令，直至你再次使用此特性。
以该方式操纵智慧不死生物要更难一些。
如果目标的智力值不低于8，则它在进行该豁免时具有优势。
而智力不低于12的不死生物，即使其豁免失败也可以每小时重掷豁免，直至其豁免成功并挣脱你的控制。</t>
  </si>
  <si>
    <t>坚固要塞</t>
  </si>
  <si>
    <t>第15级起，你成为了用魔能炮台构筑阵地的大师。
• 由于你用魔能炮台特性创造的炮台所发出的闪光魔法保护场，你和你的盟友在距离炮台不到10尺的地方有半身掩护。
• 你现在同时拥有二个炮台，你能以一个动作同时制造两台炮台（但使用法术位制造时，每个炮台都要一个法术位），此外，你能够以一个附赠动作来同时激活两个炮台。这二个炮台可以是不同的类型。你在拥有两个炮台时，不能制造第三个炮台。</t>
  </si>
  <si>
    <t>兽性之魂</t>
  </si>
  <si>
    <t>第6级起，你体内的野性精魂的力量不断成长，这使得你用野兽之形Form of Beast 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 你获得等于步行速度的游泳速度，并且能够在水中呼吸。
• 你获得等于步行速度的攀爬速度。你无需进行属性检定也可攀爬于困难表面，包括倒挂天花板。
• 每回合一次，你能在跳跃时进行一次力量（运动）检定，使你的跳跃距离延长等于检定结果的尺数。</t>
  </si>
  <si>
    <t>精魂法器</t>
  </si>
  <si>
    <t>第3级起，你使用工具来与精魂沟通，无论这些精魂是历史上的人物，还是虚构的原型。以下物品可作为你施展吟游诗人法术的法器：一根蜡烛、一个水晶球、一个头骨、一个通灵板或者一副塔罗卡牌。
从6级开始，当你通过精魂法器施放一个造成伤害或恢复生命的吟游诗人法术时，投一枚d6，你在该法术的一次伤害或治疗掷骰中获得等同于该d6掷骰结果的加值。</t>
  </si>
  <si>
    <t>诡术领域法术</t>
  </si>
  <si>
    <t>牧师等级——法术
1st——魅惑人类、易容术
3rd——镜影术、行动无踪
5th——闪现术、解除魔法
7th——任意门、变形术
9th——支配人类、篡改记忆</t>
  </si>
  <si>
    <t>灼烧烈焰</t>
  </si>
  <si>
    <t>在10级时，你获得将死亡转化为可以用于治疗或焚烧的魔法火焰的能力。
当一个小型或更大生物在你或你的野火精魂30尺内死亡时，无害幽火从其死亡生物空间中涌现并在此处摇曳1分钟。
当一个你可见的生物进入该空间时，你可以用反应扑灭那里的幽火并对该生物进行治疗或火焰伤害。
伤害或治疗数值等于2d10+你的感知调整值。
你能使用该特性的次数等于你熟练加值，你在完成一次长休后会恢复所有已消耗使用次数。</t>
  </si>
  <si>
    <t>秘法打击</t>
  </si>
  <si>
    <t>第10级时，你习得用武器攻击削弱敌人对你法术抵抗能力的方法。
当你的武器攻击命中敌人后，直至你下一回合结束前，该生物对抗你下一个法术所进行的豁免检定具有劣势。</t>
  </si>
  <si>
    <t>清流鞭</t>
  </si>
  <si>
    <t>你可以用一个动作消耗2点气创造一根水鞭推拉目标使其失去平衡。指定你周边30尺区域内一个你能看见的生物，并迫使其进行一次敏捷豁免。
豁免失败者将受到3d10点钝击伤害，此外你每额外消耗1点气则再增加1d10点钝击伤害，且你可以使目标倒地或者将其向你的方向拉近至多25尺。豁免成功则伤害减半，且不会被拉近和击倒。</t>
  </si>
  <si>
    <t>崇高卫士</t>
  </si>
  <si>
    <t>从20级起，对于那些献身于你所遵从的事业的人而言，你已经成为了一个鼓舞人心的完美典范。
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
一旦你使用了这个能力，在你完成一次长休息之前你不能再次使用。</t>
  </si>
  <si>
    <t>集群牧者魔法</t>
  </si>
  <si>
    <t>从3级起，如果你之前并未掌握，你学会法师之手戏法，当你施展它的时候，其形式是聚集在一起的自然精魂。
同样，你会在到达指定游侠等级时，学会一个额外的1环或更高环阶的法术，如集群牧者法术列表所示。
这些法术对你视为游侠法术，但它不计入你的已知法术总数中。
3rd
妖火术，法师之手
5th
蛛网术
9th
气化形体
13th
秘法眼
17th
疫病虫群</t>
  </si>
  <si>
    <t>时时刻刻都要大胆</t>
  </si>
  <si>
    <t>从3级起，你万无一失的自信驱使着你去战斗。
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
其他所有关于偷袭的规则依然适用于你。</t>
  </si>
  <si>
    <t>风暴导向</t>
  </si>
  <si>
    <t>从6级起，你获得对你周边气象的微妙掌控。
如果正在下雨，你可以用一个动作，使你身边20尺半径的范围停止下雨。
你可以以一个附赠动作终止这一效果。
如果正在刮风，你可以每轮以一个附赠动作掌控你身边一百尺半径范围的风向。
风会保持吹往你指定的方向，直到你的下一个行动轮。
你无法改变风速。</t>
  </si>
  <si>
    <t>魔能斩击</t>
  </si>
  <si>
    <t>每回合一次，当你用契约武器命中一个生物时，你可以消耗一个邪术师法术位，以此对目标造成额外 1d8+每法术位等级1d8 点的力场伤害，如果目标的体型在巨型或以下，则你还可以将他击入 倒地Prone。
先决条件：第5级，刃之魔契</t>
  </si>
  <si>
    <t>变化学者</t>
  </si>
  <si>
    <t>从第2级你选择该学派起，你向法术书中抄写变化系法术的时间和金钱花费减半。</t>
  </si>
  <si>
    <t>当你在第3级选择此专业时，你获得铁匠工具的熟练。
如果你已经拥有此熟练，作为代替，你能获得另一种工匠工具的熟练。</t>
  </si>
  <si>
    <t>狂怒之染</t>
  </si>
  <si>
    <t>第10级起，当你在狂暴时用天生武器命中一个敌人时，你体内的精魂将带着狂怒诅咒目标，使之进行一次感知豁免（DC=8+你的体质调整值+你的熟练值），豁免失败将遭受以下效应之一（由你选择）：
• 目标用反应对一个由你选择且你能看见的生物发动一次近战攻击。
• 目标受到2d12心灵伤害。
你能使用本特性的次数等于你的熟练加值次，完成一次长休后，你重获所有已消耗的次数。</t>
  </si>
  <si>
    <t>彼岸故事</t>
  </si>
  <si>
    <t>第3级起，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t>
  </si>
  <si>
    <t>诡术祝福</t>
  </si>
  <si>
    <t>从第1级选择该领域起，你可以用你的动作触碰处你自身之外的一个自愿目标，并使他在进行敏捷（隐匿）检定时具有优势。
该祝福持续1小时或直至你再次使用该特性为止。</t>
  </si>
  <si>
    <t>炽烈回生</t>
  </si>
  <si>
    <t>在14级时，你与野火精魂的连接可以使你免于死亡。
当你生命值降至0从而昏迷时，如果精魂在你的120尺之内，你可以使精魂降至0生命值。
之后你就会恢复一半生命值，并立刻站起来。
一旦你使用这一特性，直到你结束一次长休前你不能再次使用。</t>
  </si>
  <si>
    <t>秘法冲锋</t>
  </si>
  <si>
    <t>第15级时，你可以在使用动作如潮时传送至多30尺距离。
传送的目的地必须是你能看到且未被占据的空间。
你可以在使用动作如潮提供的额外动作之前或之后进行传送。</t>
  </si>
  <si>
    <t>滚石流</t>
  </si>
  <si>
    <t>你可以消耗6点气施展石墙术。（需17级）</t>
  </si>
  <si>
    <t>荣耀圣誓法术</t>
  </si>
  <si>
    <t>圣武士等级—法术
3级—曳光弹，英雄气概
5级—强化属性，魔化武器
9级—加速术，防护能量伤害
13级—强迫术，自由行动
17级—通神术，焰击术</t>
  </si>
  <si>
    <t>翻腾浪涌</t>
  </si>
  <si>
    <t>从7级起，你能将你的集群的一部分凝聚成一股集中的力量，来将你托起。
以一个附赠动作，你获得10尺飞行速度并且能悬浮在空中，该效应持续1分钟或直到你陷入失能状态。
你能使用该特性的次数等于你的熟练加值，而你在结束一次长休后重新获得所有消耗的次数。</t>
  </si>
  <si>
    <t>潇洒气质</t>
  </si>
  <si>
    <t>从9级起，你的魅力变得更加迷人。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这个效果持续1分钟，或你的队友攻击/用法术影响了这个目标，或你移动到远离目标60尺外为止。
如果那个生物不是敌对的并且你的检定成功，它被你魅惑1分钟。
当它被魅惑时，它认为你是一个友好的熟人。
这个效果会在你或者你的队友做出任何对他有害的行为之后立即结束。</t>
  </si>
  <si>
    <t>暴风狂怒</t>
  </si>
  <si>
    <t>14级起，每当你在一次近战攻击中被命中，你可以用你的反应动作对攻击者造成等于你术士等级的闪电伤害。
此外，攻击者必须进行一次力量豁免，DC等于你的术士法术豁免。
一旦豁免失败，攻击者将被直线推开20尺。</t>
  </si>
  <si>
    <t>幽魂凝视</t>
  </si>
  <si>
    <t>以一个动作，你获得可以看穿30尺范围内固态物件的能力。如果你不具有黑暗视觉，你会获得相同范围的黑暗视觉。这种特殊的感官将持续至多1分钟，如果你的专注终止它也会提前终止（如同你正专注于一个法术）。在此期间，你看到的物件都将呈现出影子般的、透明的画面。
使用本祈唤后，直到你完成一次短休或长休前，你都无法再次使用它。
先决条件：第7级</t>
  </si>
  <si>
    <t>次级炼金</t>
  </si>
  <si>
    <t>从第2级你选择该学派起，你可以暂时转变一件非魔法物件的物理属性，将其构成材料变成另一种物质。
你对一件物件施行某些特殊的炼金程序使其完成转化，该物件必须完全由木材，石头（不包括宝石），钢铁，铜，或者白银制成，而后你可以将其变为上述材质中的另一种。
你每花费10分钟施行该程序，就可以转变1立方尺的物质。
1小时后，或者当你的专注中断时（其规则等同于进行法术专注），材质就会复原。</t>
  </si>
  <si>
    <t>战地匠师法术</t>
  </si>
  <si>
    <t>从第3级起，只要你达到相应的职业等级，战地匠师法术表格中的法术总是被视为已准备。
这些法术对你来说是奇械师法术，且不会计入你可以准备法术的总数。
奇械师等级 法术
3级 英雄气概，护盾术
5级 印记斩，守护之链
9级 活力灵光，召唤箭雨
13级 净化灵光，火焰护盾
17级 放逐斩，群体疗伤术</t>
  </si>
  <si>
    <t>狩猎之唤</t>
  </si>
  <si>
    <t>第14级起，你内心的那匹强大野兽使你能激发盟友的凶性，并强化自己的耐性。当你进入狂暴时，你可以选择你周围30尺内的数个你可见的其他自愿生物，其数量至多等同于你的你的体质调整值（至少1）个。
你获得等同于接受狩猎之唤特性的生物数量五倍点的临时生命值。直至你的狂暴结束前，被选择的这些生物可以分别在每个自己的回合中使用一次以下能力：
• 当攻击检定命中一个目标并造成伤害时，可以骰一个d6，并在伤害中获得骰出结果的加值。
你能使用狩猎之唤的次数等于你的熟练加值次，完成一次长休后，你重获所有已消耗的次数。</t>
  </si>
  <si>
    <t>精魂故事表</t>
  </si>
  <si>
    <t>诗人激励骰结果　通过你讲述的故事
1、聪慧的动物的故事Tale of the Clever Animal
接下来的10分钟内，每当目标进行一次智力、感知或魅力检定时，目标可以在投掷d20后额外立刻投掷一个额外的骰子，并将数值加到检定结果之中。额外骰的面数和你的诗人激励骰相同。
2、著名决斗家的故事Tale of the Renowned Duelist
你对目标进行一次近战法术攻击。若命中，则目标受到等同于2个你的诗人激励骰的掷骰结果+你的魅力调整值的力场伤害。
3、挚友们的故事 Tale of the Beloved Friends
目标和其所选的另一个在其5尺内且其可见的生物获得临时生命值，数值等于1个你的诗人激励骰的掷骰结果+你的魅力调整值。
4、逃亡的故事Tale of the Runaway
目标可以立即使用其反应来传送至多30尺，到一处其可见且未被占据的空间。当目标传送时，其能选择至多相当于你的魅力调整值（最少为0）数量的、在其30尺内的可见生物立即执行相同的反应。
5、复仇者的故事 Tale of the Avenger
在1分钟里，任何使用近战攻击命中目标的生物会受到相当于1个你的诗人激励骰的掷骰结果的力场伤害。
6、旅行者的故事 Tale of theTraveler
目标获得临时生命值，数值为一个你的诗人激励骰的掷骰结果+你的诗人等级。当其拥有这些临时生命值时，其移动速度增加10尺，并在其AC上获得+1加值。
7、欺诈者的故事 Tale of the Beguiler
目标进行一次感知豁免，失败则受到数值等同于2个你的诗人激励骰的掷骰结果的心灵伤害，并陷入失能incapacitated直到其下一个回合结束。
8、鬼魅的故事Tale of the Phantom
目标变为隐形invisible，直到其下一个回合结束，或以攻击命中一个生物。如果目标在这次隐形期间攻击命中了一个生物，被攻击的生物受到暗蚀伤害，数值等同于1个你的诗人激励骰的掷骰结果，并陷入对目标的恐慌frightened之中，持续到该生物的下一个回合结束。
9、凶蛮恶汉的故事 Tale of the Brute 目标所选择的30尺内其可见的每个生物都必须进行一次力量豁免。若豁免失败，该生物受到3个你的诗人激励骰的掷骰结果的雷鸣伤害，并倒地prone。若豁免成功，该生物受到的伤害减半，并且不会倒地prone。
10、巨龙的故事 Tale of the Dragon目标从口中喷出30尺锥形的火焰。在范围内的每个生物都必须进行一次敏捷豁免，若豁免失败则受到4个你的诗人激励骰的掷骰结果的火焰伤害，若豁免则成功伤害减半。
11、天使的故事 Tale of the Angel目标恢复相当于2个你的诗人激励骰的掷骰结果+你的魅力调整值的生命值，并且你结束目标身上正起作用的状态中的一个，可结束的状态如下：目盲blinded，耳聋deafened，麻痹paralyzed，石化petrified或中毒poisoned。
12、夺魂故事 Tale of the Mind-Bender你从某个超凡的存在那里唤起了一则超越人的理解能力的寓言。目标必须成功通过一次智力豁免，否则受到相当于3个你的诗人激励骰的掷骰结果的心灵伤害，并被震慑stunned直到其下一个回合结束。</t>
  </si>
  <si>
    <t>引导神力：召唤分身</t>
  </si>
  <si>
    <t>第2级起，你可以用引导神力特性来创造一个你自身的幻象分身。
作为一个动作，你可以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某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</si>
  <si>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精通战争魔法</t>
  </si>
  <si>
    <t>第18级起，你执行施法动作时，可以用附赠动作发动一次武器攻击。</t>
  </si>
  <si>
    <t>额外熟练</t>
  </si>
  <si>
    <t>当你3级时，若你还没有获得表演技能项熟练，则你熟练之。
你的武术技巧将战斗与舞者的精确及小丑的滑稽混合在一起。
你同时也能得到啤酒酿造工具的熟练如果你还未获得。</t>
  </si>
  <si>
    <t>引导神力-荣耀</t>
  </si>
  <si>
    <t>第3级起，若选取此誓言，你获得以下两种引导神力选项。
绝伦健将：以一个附赠动作，你可以使用你的引导神力以增强运动能力。
10分钟内，你在力量（运动）检定和敏捷（体操）检定上获得优势，你的负重及能够拖、拉、拽的重量翻倍，且你跳远和跳高的距离增加10尺（你依然为此正常消耗移动速度）。
鼓舞一击：当你以至圣斩特性造成一次伤害时，你可以立即用附赠动作使用你的引导神力，使30尺内由你选择的生物或你自身获得临时生命值。
这些生物共获得的临时生命值等同于你的圣武士等级加上2d8，你可以为其随意分配这些临时生命值。</t>
  </si>
  <si>
    <t>壮大集群</t>
  </si>
  <si>
    <t>从11级起，你的蜂聚集群通过以下方式变得更加强大：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</si>
  <si>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优雅战技</t>
  </si>
  <si>
    <t>从13级起，你可以轻松熟练的完成困难的战技。
你可以在你的回合用一个附赠动作来获得在同一回合中下一个敏捷（体操）或力量（运动）检定的优势。</t>
  </si>
  <si>
    <t>清风之灵</t>
  </si>
  <si>
    <t>18级时，你获得60尺飞行速度，且免疫闪电与雷鸣伤害。
以一个动作，你可以将你的飞行速度降低到30尺，持续一小时。
当你这么做时，你可以指定在你身边30尺内的，3+你的魅力调整值个生物。
这些被选定的生物获得30尺飞行速度，持续1小时。
你不能在一次短休息或者长休息前再一次使用此能力。</t>
  </si>
  <si>
    <t>深海赠礼</t>
  </si>
  <si>
    <t>你可以在水下呼吸，且你获得等于你步行速度的游泳速度。
此外，你还可以施展一次法术 水下呼吸water breathing ，且无需消耗法术位。完成一次长休后，你重获如此施展该法术的权利。
先决条件：第5级</t>
  </si>
  <si>
    <t>变化师之石</t>
  </si>
  <si>
    <t>第6级起，你可以花费8小时时间创造一颗储存着变化魔力的变化师之石。
你可以自己保有石头获得其增益或将其赠予别人。
持有变化师之石的生物将从中获得你所选择的增益。
在创造变化师之石时，选择下述效应其一：
60尺黑暗视觉，详见第8章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</si>
  <si>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战斗准备</t>
  </si>
  <si>
    <t>在第3级时，你的战斗训练和魔法实验为你带来了两种好处：
你得到军用武器的熟练。
当你以魔法武器攻击时，你可以在攻击和伤害检定使用智力调整值，以代替力量或敏捷。</t>
  </si>
  <si>
    <t>巨人之力</t>
  </si>
  <si>
    <t>第3级选择此道途后，你获得说、读、写巨人语的能力。若你已经习得巨人语，则可以改为自选另一种语言。此外，你选择并习得以下戏法之一： 德鲁伊伎俩druidcraft 、奇术thaumaturgy 。这个法术的施法属性为感知。</t>
  </si>
  <si>
    <t>精魂集会</t>
  </si>
  <si>
    <t>第6级起，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</si>
  <si>
    <t>引导神力：幽影斗篷</t>
  </si>
  <si>
    <t>第6级起，你可以用引导神力特性来消失不见。
作为一个动作，你变成隐形状态，该状态将持续至你的下一回合结束。当你攻击或施法时，将随即显形。</t>
  </si>
  <si>
    <t>在3级时，你作为精灵军事传统的研习者学会了魔法理论或者自然知识。
你从奥秘或者自然中选择一个技能获得熟练，而且从魔法伎俩或者德鲁伊伎俩中选择一个戏法并学会。</t>
  </si>
  <si>
    <t>醉拳法门</t>
  </si>
  <si>
    <t>当你3级时，选择了这个范型的武僧使得你学会了如何在疾风连打中快速的扭转与行动躯体。
每当你使用疾风连击时，你将获得撤离动作的好处，而你的步行速度增加10英尺直到当前回合结束。</t>
  </si>
  <si>
    <t>迅捷灵光</t>
  </si>
  <si>
    <t>第7级起，你散发出一道能使你和你的盟友获得超自然速度的灵光，从而能够列队穿越战场，你获得10尺的额外移动速度。
此外，若你未失能，在你5尺内开始其回合的友善生物获得10尺的额外移动速度，直至该回合结束。
18级起，灵光的范围增长至10尺。</t>
  </si>
  <si>
    <t>群逸逃散</t>
  </si>
  <si>
    <t>从15级起，你能将自己散入集群来躲避危险。
当你受到伤害时，你能使用你的反应动作让自己活得对该次伤害的抗性。
你消失在自己的集群之中，然后传送至30尺内一个未被占据的空间，你在那里与自己的集群一同重新出现。
你能使用该特性的次数等于你的熟练加值，而你在结束一次长休后重新获得所有消耗的次数。</t>
  </si>
  <si>
    <t>决斗大师</t>
  </si>
  <si>
    <t>从17级起，你对剑术的精通使你可以扭转战斗的胜负。
如果你的一次攻击失手，你可以选择以优势再投一次攻击骰。
一但你使用了这项能力，你直到完成一次短休息或长休息前不能再次使用它。</t>
  </si>
  <si>
    <t>灵能法术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</si>
  <si>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该法术必须为术士、邪术师或法师法术列表中的一个预言系或附魔系法术。
术士等级—法术
1级—哈达之臂，不谐低语，心灵撕裂
3级—安定心神，侦测思想
5级—哈达之欲，短讯术
7级—艾伐黑触手，异怪召唤术
9级—拉瑞心灵联结，心灵遥控</t>
  </si>
  <si>
    <t>永生者赠礼</t>
  </si>
  <si>
    <t>当你被恢复生命值时，只要此时你的魔宠与你之间的距离不超过100尺，所有决定你恢复生命值点数的骰，都被视为骰出了最大值。
先决条件：链之魔契</t>
  </si>
  <si>
    <t>变形生物</t>
  </si>
  <si>
    <t>第10级起，如果你的法术书中尚未包含变形术，则你将之加入法术书。
你可以无需消耗法术位的施展变形术。
此时，你可以指定的目标将限定为你自身，而其效应为变成一种挑战等级不高于1的野兽。
你以该方式施展变形术后，必须完成一次长休或短休才能再次使用该特性，但仍可正常消耗法术位地施展变形术。</t>
  </si>
  <si>
    <t>钢铁守卫</t>
  </si>
  <si>
    <t>在第3级，你闲暇的工匠时间让你创造出可靠的随从，一个钢铁守卫。
它对你和你的同伴友好，并且服从你的命令。
钢铁守卫的游戏数据见下，它的数据中某几项会适用你的熟练加值。
该生物的外观，两足步行还是四足步行皆由你决定；你的决定对游戏数据没有影响。
在战斗中，钢铁守卫使用你的先攻，并且在你的回合后立即行动。
它能自由移动和执行反应，但除非你以一个附赠动作命令它进行数据中列出的动作或其他动作，否则它在回合中只能进行闪避动作。
如果你失能，钢铁守卫可以进行任何动作，而不仅仅是闪避。
如果你对钢铁守卫施放修复术，它将恢复2d6生命值。
如果它在最近一小时内死亡，你能够以一个动作使用铁匠工具花费一个至少1环的法术位来在距离你5尺的空格内复活它。
钢铁守卫会在1分钟后复活，在复活时会回满生命值。
当你在手头有铁匠工具的情况下完成一次长休时，你可以创造一个新的钢铁守卫。
如果你已经通过此特性拥有一个钢铁守卫，则上一个会立即消失。如果你死亡，钢铁守卫会随之损毁。</t>
  </si>
  <si>
    <t>巨人之灾</t>
  </si>
  <si>
    <t>第3级起，你的狂暴从巨人的原初之力中汲取力量，使你成为强大破坏力的化身。狂暴期间，你获得以下的增益：
• 粉碎投掷Crushing Throw。 当你用力量且用投掷武器发动远程武器攻击，并成功命中时，你可以将你的狂暴伤害加值加到这次攻击的伤害掷骰中。
• 巨人体型Giant Stature。 你的触及范围扩大5尺。且，如果你的体型小于大型，你的体型变为大型，你穿戴的所有装备也会一同变大。如果没有足够的空间供你增大体型，你的体型保持不变。</t>
  </si>
  <si>
    <t>神秘连接</t>
  </si>
  <si>
    <t>第14级起，在使用彼岸故事特性时，你能稍微推动精魂们倾向特定的故事。当你投掷精魂故事表时，你可以掷骰两次，自选其中一个效果使用。如果两次掷骰结果相同，则你此次可以忽略掷骰结果，并从表中任选一个效果使用。</t>
  </si>
  <si>
    <t>第8级起，你可以使你的武器染上神赐的毒素。你在每个自己回合里有一次机会，可以在用武器攻击命中某生物时使该攻击额外造成1d8点毒素伤害。14级时，该伤害提升到2d8。</t>
  </si>
  <si>
    <t>在3级时，你学会在射击时施放一些特殊的魔法效果。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你会获得一个额外的你选择的奥术射击选项当你到达一定战士等级时：7级，10级，15级和18级。
所有的选项在你成为18级战士时都会提升。</t>
  </si>
  <si>
    <t>微醺摇摆</t>
  </si>
  <si>
    <t>当你6级时，你可以突然地以摇摆的方式作出移动。
你将获得以下好处：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</si>
  <si>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辉煌防御</t>
  </si>
  <si>
    <t>第15级起，你能够抵御突然的袭击。
当你或你10尺内一个你可见的生物成为一次攻击的目标并被击中时，你可以用反应使其获得AC加值，此举可能使该次攻击改为击失，此加值等同于你的魅力调整值（至少为+1）。
若该次攻击的结果为击失，且攻击者在你的触及范围内，你可以对其进行一次武器攻击，视为此反应的一部分。
你可以使用此能力的次数等同于你的魅力调整值（至少1次）。
每当你完成一次长休息，你重新获得已消耗的使用次数。</t>
  </si>
  <si>
    <t>哀惧灵袭</t>
  </si>
  <si>
    <t>从3级起，你能够使用来自妖精荒原中黑暗空洞的摄心魔法以强化你的武器攻击。
当你使用武器命中一个生物时，你可以对目标造成额外的1d4心灵伤害，一个目标一回合只能够受到一次这个伤害。
该额外伤害在你的游侠升到11级时变成1d6。</t>
  </si>
  <si>
    <t>亡者余声</t>
  </si>
  <si>
    <t>从3级起，死者的回响依附着你，一个幽灵般的存在会向你分享它的知识。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</si>
  <si>
    <t>传心谈话</t>
  </si>
  <si>
    <t>从1级起，你能够在自己与他人的意识中构建一道心灵感应的链接。
以一个附赠动作，你可以选择30尺内一个你可见的生物，只要你与其距离的里数不超过你的魅力调整值（至少1里），你与其能够通过心灵感应方式进行交流。
你们必须使用对方知晓的语言进行心灵交流才能使其理解你通过心灵感应传达的话语。
心灵感应的链接持续等同于你术士等级的分钟数。
当你失能或死亡，或你使用此能力与其他生物构建链接时，其提前结束。</t>
  </si>
  <si>
    <t>哈达之攫</t>
  </si>
  <si>
    <t>每个你的回合一次，当你用 魔能爆eldritch blast 击中一个生物时，你可以让此生物直线向你移动10尺。
先决条件：习得戏法 魔能爆</t>
  </si>
  <si>
    <t>变化宗师</t>
  </si>
  <si>
    <t>第14级起，你可以用你的动作将储存在你变化师之石中的变化魔力一次耗尽。
此时你可以选择下述效应之一。
你的变化师之石将因此被毁，而你必须完成一次长休后才能再创作新的变化师之石头。
高等转化：你可以将一件不大于5尺立方的非魔法物件变成体积和质量相近，价值等同或更低的另一件非魔法物件。
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
不过该效应并不能延长生物的寿命。</t>
  </si>
  <si>
    <t>元素战刃</t>
  </si>
  <si>
    <t>第6级起，你和巨人的元素力量的链接成长了，并且，你习得了将原初能量注入武器之中的方式。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1d6点所选类型的伤害。此外它还将获得 投掷Thrown 属性，具有通常射程20尺与最大射程60尺。如果你投掷这把武器，它不论是否击中目标，它都将在那之后立刻重新出现在你的手中。注能武器的增益将在除你以外的其他生物持握它时将被暂时压制。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</si>
  <si>
    <t>精通分身</t>
  </si>
  <si>
    <t>第17级起，你使用召唤分身时可以同时制造至多四个自身的幻象分身而非一个。
作为你自己回合内的一个附赠动作，你可以让任意数量的该分身移动至多30尺到某个你可以看见的地方，但幻象必须始终保持离你120尺之内。</t>
  </si>
  <si>
    <t>魔法箭矢</t>
  </si>
  <si>
    <t>在7级时，你学会在箭矢中灌注魔法。
无论何时你用短弓或者长弓射出普通箭，你都可以为了让它能够克服对非魔法攻击伤害的抗性和免疫而将其转变为魔法箭矢。
这个魔法会在箭击中或未命中目标后立刻消失。</t>
  </si>
  <si>
    <t>醉汉机运</t>
  </si>
  <si>
    <t>当你11级时，你似乎总是能在最正确的时刻获得机运的反弹。
当你进行一次属性检定，攻击检定或豁免检定并在检定中拥有劣势时，你可以花费2点气抵消这个劣势。</t>
  </si>
  <si>
    <t>现世传说</t>
  </si>
  <si>
    <t>第20级起，你能够使自己有能力实现传奇的壮举——无论是确有此事，抑或夸大其词。
以一个附赠动作，你在1分钟内获得以下增益：
一个超凡脱俗的存在赐福与你，你在与魅力相关的检定上获得优势。
每自己回合一次，当你进行一次武器攻击并击失，你可以使其改为击中。
当你进行一次豁免检定并失败时，你可以用反应重投之，你必须使用重投的结果。
一旦你使用了此能力，你在完成一次长休息之前必须消耗一个5环法术位以再次使用此能力。</t>
  </si>
  <si>
    <t>妖精漫游者魔法</t>
  </si>
  <si>
    <t>从3级起，你在达到特定等级时学会一个下方妖精漫游者法术列表中列出的魔法。
这些法术对你而言视作游侠法术，且不占用你的游侠已知法术数量。
妖精漫游者法术
游侠等级   法术
三级       魅惑人类
五级       迷踪步
九级       解除魔法
十三级     任意门
十七级     误导术
你还获得了来自一位妖精盟友或一处妖精神力的神奇祝福，你可以在下方妖精荒原之赐表格中选择你的祝福或者随机决定。
精野之赐
D6 赐礼
1 在你进行长休或短休时，缥缈的蝴蝶在你周身振翅。
2 每天黎明，新鲜的、当季的花朵将在你的头发中生长。
3 你身上有淡淡的肉桂、薰衣草或肉豆蔻，或另一种令人舒适的药草或香料的香味。
4 你的影子会在没人直视它时起舞。
5 你的头发中长出纤细的触角或鹿角。</t>
  </si>
  <si>
    <t>墓穴惊嚎</t>
  </si>
  <si>
    <t>从3级起，当你将某人推向墓穴时，你也可以沟通死亡之力，使得亡者的嚎哭短暂环绕着新的目标。
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
3级1d6，5级2d6，9级3d6，13级4d6，17级5d6</t>
  </si>
  <si>
    <t>灵能术法</t>
  </si>
  <si>
    <t>从6级起，当你施放一个你通过灵能法术特性知晓的法术时，你可以改为使用等同于该法术环数数量的术法点而非消耗法术位施放该法术，你依然可以用法术位正常施放这些法术。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
你同时无视该法术需要的不会消耗的材料成分。</t>
  </si>
  <si>
    <t>进阶契约武器</t>
  </si>
  <si>
    <t>你可以使用你刃之魔契职业特性召唤出来的任何武器作为你施展邪术师法术的法器使用。
此外，若你的契约武器不是一件在攻击检定与其伤害掷骰上具有加值的魔法武器，你的契约武器在攻击检定与其伤害骰上获得+1加值。
不仅如此，当你塑造新的武器时，你可以塑造出一把短弓、长弓、轻弩、或重弩。
（校对注：不选用此魔能祈唤依旧能将魔法武器的此类武器以及其他远程武器作为你的契约武器使用。）
先决条件：刃之魔契特性</t>
  </si>
  <si>
    <t>奥术偏斜</t>
  </si>
  <si>
    <t>在2级时，你学会了编织魔法以更强韧的面对伤害。
当你被一次攻击击中，或未通过一次豁免时，你可以使用你的反应来在对抗那次攻击的AC上获得+2加值，或在那次豁免检定中得到+4加值。
当你使用此特性时，你不能施展戏法之外的法术，直到你下个回合结束。</t>
  </si>
  <si>
    <t>奥能震荡</t>
  </si>
  <si>
    <t>在第9级，你学会了新的方法来引导奥术能量进行伤害或治疗。
当你使用魔法武器或指挥钢铁守卫命中目标时，你可以将奥术能量引导至攻击中，以获得以下一种效应：
目标受到额外的2d6力场伤害。
选择距离目标30尺以内的一个可见生物或物体，治愈能量涌进选择的对象，为其恢复2d6生命值。
你可以引导奥术能量的次数等同于你的智力调整值（至少1次），但每回合只能这么做一次。
在你完成长休时，恢复所有可用次数。</t>
  </si>
  <si>
    <t>伟力推动</t>
  </si>
  <si>
    <t>第10级起，借由你与巨人之力量的链接，你可以猛投战场上的盟友与敌人。狂暴期间，以一个附赠动作，你可以选择触及范围内的一个不超过中型体型的生物，将其移动到你周围30尺内的一处你可见的、未被占据的空间。非自愿的生物必须成功通过一次力量豁免（DC=8+你的熟练加值+你的力量调整值）才能避免遭受这一效应。
若在这次移动结束时，被投掷的生物并未站在一个可以支撑他的固体表面或液体中，该生物将坠落，正常承受摔落伤害并在落地时陷入 倒地Prone。</t>
  </si>
  <si>
    <t>战争领域法术</t>
  </si>
  <si>
    <t>牧师等级——法术
1st——神恩、虔诚护盾
3rd——魔化武器、灵体武器
5th——十字军披风、灵体卫士
7th——行动自如、石肤术
9th——焰击术、怪物定身术</t>
  </si>
  <si>
    <t>曲线射击</t>
  </si>
  <si>
    <t>在7级时，你学会如何引导偏离的箭矢到新的目标上。
当你使用了魔法箭矢投攻击骰且未命中时，你能够使用一个附赠动作来指定一个距离原本目标60尺内的不同目标重投攻击骰。</t>
  </si>
  <si>
    <t>酒疯沉醉</t>
  </si>
  <si>
    <t>当你17级时，你能对一大群敌人进行超量次数的乱舞打击。
每当你使用你的疾风连击时，你可以用它进行最多三次的额外攻击（疾风连击最多可以进行五次攻击），前提是每一次疾风连击都能在本回合中取一个不同生物作为攻击目标。</t>
  </si>
  <si>
    <t>守望圣誓法术</t>
  </si>
  <si>
    <t>圣武士等级—法术
3级—警报术，侦测魔法
5级—月华之光，识破隐形
9级—法术反制，回避侦测
13级—净化灵光，放逐术
17级—怪物定身术，探知</t>
  </si>
  <si>
    <t>妖冶嫺都</t>
  </si>
  <si>
    <t>从3级起，你的妖精本质给予了你超脱凡俗的魅力，因此，每当你进行一次魅力检定时，你可以在结果中加入等于你的感知调整值的加值(最低为1)。
另外，你得到下列技能中你选择的一项的熟练：欺瞒，表演，游说。</t>
  </si>
  <si>
    <t>逝者遗物</t>
  </si>
  <si>
    <t>从9级起，当生命终结于你的眼前，你可从离去的灵魂中抓取出一小片其生命精华的具现化象征：当你30尺内一个可见生物死亡时，你可以以一个反应张开一只空手，使得一个微型的饰物出现在你的掌心，那是一个魂器。
DM决定魂器的外观或者让你骰玩家手册中的饰品表来决定。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DM应当决定在这个灵体只知道他生前所知。</t>
  </si>
  <si>
    <t>心灵防御</t>
  </si>
  <si>
    <t>从6级起，你对心灵伤害获得抗力。
此外，你在对抗魅惑或恐慌的豁免检定上获得优势。</t>
  </si>
  <si>
    <t>怠惰之枪</t>
  </si>
  <si>
    <t>每个你的回合一次，当你用 魔能爆eldritch blast 击中一个生物时，你可以使目标的速度降低10尺，持续直至你的下个回合结束。
先决条件：习得戏法 魔能爆eldritch blast</t>
  </si>
  <si>
    <t>战术思维</t>
  </si>
  <si>
    <t>从2级起，你对于战略格局的急速把控让你能在战斗中快速的反应。
你在先攻检定中获得等于你智力调整值的加值。</t>
  </si>
  <si>
    <t>改良守卫</t>
  </si>
  <si>
    <t>在第15级，你的奥能震荡和钢铁守卫变得更强：
奥能震荡的额外伤害和生命恢复变为4d6。
你的钢铁守卫AC+2
当你的钢铁守卫使用偏转攻击时，攻击者受到1d4+你的智力调整值的力场伤害。</t>
  </si>
  <si>
    <t>创世巨像</t>
  </si>
  <si>
    <t>第14级起，你狂暴中的原初力量增强了。当你狂暴时，你的触及范围再次提升10尺，而你的体型可以增大为大型或巨型（由你选择），且你还可以用 伟力推动Mighty Impel 特性投掷不超过大型体型的生物。
此外，你的 元素战刃Elemental Cleaver 特性造成的额外伤害提升至2d6。</t>
  </si>
  <si>
    <t>额外熟练项</t>
  </si>
  <si>
    <t>预备射击</t>
  </si>
  <si>
    <t>15级起，无论战斗何时开始你都有魔法箭矢可用。
如果你投了先攻骰且没有任何奥术射击使用次数，你重新获得一次使用机会。</t>
  </si>
  <si>
    <t>剑圣之途</t>
  </si>
  <si>
    <t>当你在第3级时选择了这个宗派，你特殊的武术训练使你精通于某些特定武器使用技巧。
这一流派同时还包括了对书画艺术的研究。你获得以下好处：
剑圣武器:选择两种武器作为你的剑圣武器，一种近战武器和一种远程武器。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当你的武僧职业等级分别达到第6级、第11级和第17级时，你可以遵从上述标准，选择另一种武器——近战或远程武器均可——作为你的剑圣武器。
灵巧格挡：如果你持握一件剑圣武器，并在你的回合中进行了一次徒手攻击作为攻击动作的一部分，若该武器是近战武器，则你可以用它来保护自己。
直到你的下回合开始之前你的AC获得+2加值，只要武器还在你的手中且你未陷入失能状态。
持弓审固：你可以在你的回合中使用一次附赠动作使你的剑圣武器远程攻击变得更为致命。
当你这样做时，你用剑圣武器发动的远程攻击所命中的任何目标将会额外受到1d4点该武器的属性种类的伤害。
你保留这一好处直到当前回合结束。
书画之道：你在书法工具或画家工具中选择其一，获得熟练项。</t>
  </si>
  <si>
    <t>引导神力-守望</t>
  </si>
  <si>
    <t>第3级起，若选取此誓言，你获得以下两种引导神力选项。
守望者的意志：你可以使用你的引导神力，将信仰的守护力量融入你的存在之中。
以一个动作，你可以选择30尺内你可见的生物，数量至多等同于你的魅力调整值（至少为1）。
在1分钟内，你和所有被选择的生物在智力、感知和魅力豁免上都获得优势。
驱散异域：你可以使用你的引导神力惩罚来自异界的存在。
以一个动作，你展示你的圣徽，你30尺范围内能够听到你祷言的异怪、天界生物、元素、精类或邪魔都必须进行一次感知豁免，豁免失败者将受到驱散，其效应持续1分钟或直至其受到任何伤害。
以此方式被驱散的生物必须花费其回合内的所有移动速度尽量远离你，且无法主动靠近你30尺内。
被驱散的生物无法执行反应，只能使用既有的疾走动作或从任何妨碍其移动的效应中挣脱，该生物无路可走时将执行回避动作。</t>
  </si>
  <si>
    <t>妖思魅缕</t>
  </si>
  <si>
    <t>从7级起，妖精荒原的魔法护卫着你的心灵，你在对抗造成恐惧与魅惑的豁免检定上具有优势。
另外，120尺内你可见的一个生物成功地通过了一个对抗魅惑或恐惧的豁免检定时，你可以用你的反应迫使120尺内你可见的另一个生物通过一个DC为你的法术DC的感知豁免。
若其豁免失败，则目标会被你魅惑或恐惧(由你选择) 一分钟。
目标能够在他的每回合结束时重复豁免，若其豁免成功，则效果终止。</t>
  </si>
  <si>
    <t>幽灵漫步</t>
  </si>
  <si>
    <t>从13级起，你可以部分的进入死亡的领域，变得如同一个幽灵。
作为一个附赠动作，你化为灵体的形态。
处于这种形态时，你拥有10尺的飞行速度，能够盘旋，并且针对你的攻击都具有劣势。
你也可以如同是困难地形那样穿过生物或者物品，但是如果回合结束时你仍然在内部，你将受到1d10点力场伤害。
该形态持续10分钟或直到你以一个附赠动作将其解除。
你再次使用此特性前必须完成一次长休。
或者你以同一个附赠动作销毁一个你的魂器并激活幽灵漫步。</t>
  </si>
  <si>
    <t>血肉启示</t>
  </si>
  <si>
    <t>从14级起，你能够释放出潜藏在你内部扭曲的真实形态。
以一个附赠动作，你使用至少1术法点以魔法性地转变形态，持续10分钟。
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</si>
  <si>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癫狂巫咒</t>
  </si>
  <si>
    <t>以一个附赠动作，你可以向着你的法术 脆弱诅咒hex 或 咒剑诅咒Hexblade's Curse 、凶兆符记Sign of Ill Omen 等邪术师特性所诅咒的目标施加一种精神干扰。此时，你对受咒目标与所有它周围5尺范围内的、由你所选择的生物造成一定心灵伤害，其伤害值等同于 你的魅力调整值 点（最低1点伤害）。使用此祈唤时，你必须能看到诅咒目标，且它与你之间的距离不能超过30尺。
先决条件：第5级，习得法术 脆弱诅咒hex 、或具有可施加诅咒的邪术师特性</t>
  </si>
  <si>
    <t>力量涌动</t>
  </si>
  <si>
    <t>从6级起，你可以将魔法能量存于体内并于之后增幅你危险异常的法术。
在这一存储模式中，这一能量被称为力量涌动。
你不能储存超过你智力调整值（至少1）的力量涌动。
当你完成一次长休息，你的力量涌动数重置为1。
当你成功用解除魔法或反制法术终结一个法术时，你获得1点力量涌动，因为你从你挫败的法术中窃得魔力。
当你在没有力量涌动次数时完成一次短休息，你获得1点力量涌动。
每回合一次，当你用一个法师法术对一生物或物体造成伤害时，你可以消耗1点力量涌动来对目标造成额外的力场伤害。
额外伤害值等于你的法师等级的一半。</t>
  </si>
  <si>
    <t>从第3级起，你获得重甲的熟练，你同时获得铁匠工具的熟练，如果你已经熟练于此工具，作为代替，你能获得另一种工匠工具的熟练。</t>
  </si>
  <si>
    <t>战争祭司</t>
  </si>
  <si>
    <t>第1级起，你的守护神在战斗中给你激励。当你执行攻击动作时，你可以用一个附赠动作发动一次武器攻击。
你可以使用该特性的次数等于你的感知调整值（至少为一次）。而你将在完成一次长休后重新恢复所有的使用次数。</t>
  </si>
  <si>
    <t>放逐箭</t>
  </si>
  <si>
    <t>你尝试用你的防护魔法来暂时放逐你的目标到一片属于精灵沃野的无害区域。
被这发箭击中的角色必须通过一个魅力豁免或者被放逐。
当被这种方式放逐时，目标速度降为0，变为失能。
在他的回合结束时，目标在他被放逐前的位置出现。
如果该位置被占据，则他在最近的未被占据空间出现。
当你的战士等级到18级时，目标被箭击中时还会受到2d6的力场伤害。</t>
  </si>
  <si>
    <t>人剑合一</t>
  </si>
  <si>
    <t>第6级起，你能将“气”灌注到剑圣武器之中，这为你带来以下好处： 
剑气：攻击对非魔法攻击和伤害具有抗性或免疫的目标时，你的剑圣武器攻击视为魔法攻击。
巧劲：当你使用剑圣武器命中目标时，你可以消耗1点“气”使得该武器对该目标造成额外伤害，数值等于你的“武艺”投骰。
该特性你每回合只能使用一次。</t>
  </si>
  <si>
    <t>哨卫灵光</t>
  </si>
  <si>
    <t>第7级起，若你未失能，你散发出一道令人保持警觉的灵光。
当你和你10尺内由你选择的生物进行一次先攻检定时，获得等同于你熟练加值的加值。
18级起，灵光的范围增长至30尺。</t>
  </si>
  <si>
    <t>精宸所与</t>
  </si>
  <si>
    <t>从11级起，妖精荒原的皇庭赐予你获得精类援助的祝福：你习得召唤妖精（一个第三章中的法术）。
这不占用你的已知游侠法术，且你可以施展它而无需材料成分。
你可以不消耗法术位而施展这个法术一次，并在你完成一次长休后重获该能力。
当你开始施展这个法术时，你可以对其进行调整使其无需专注。
若你这么做，那么法术的持续时间会在那一次施展时变为一分钟。</t>
  </si>
  <si>
    <t>死亡之友</t>
  </si>
  <si>
    <t>从17级起，你与死亡的联系变得如此紧密，以至于你获得了如下益处：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</si>
  <si>
    <t>扭曲爆裂</t>
  </si>
  <si>
    <t>从18级起，你能够解放你异质的力量，从而制造扭曲空间的异常现象。
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一旦你使用了此能力，你在完成一次长休息之前必须消耗5术法点以再次使用此能力。</t>
  </si>
  <si>
    <t>残酷巫咒</t>
  </si>
  <si>
    <t>你的诅咒为你与受咒目标间建立了短暂的联结。以一个附赠动作，你可以魔法性的传送到你的法术 脆弱诅咒hex 或 咒剑诅咒Hexblade's Curse 、凶兆符记Sign of Ill Omen 等邪术师特性所诅咒的目标，其周围5尺内的一处你可见的且未被占据空间内，传送距离最多30英尺。以此方式进行传送时，你必须能够看到那个受咒目标。
先决条件：第7级，习得法术 脆弱诅咒hex 、或具有可施加诅咒的邪术师特性</t>
  </si>
  <si>
    <t>耐久魔法</t>
  </si>
  <si>
    <t>从10级起，你引导的魔法也能阻绝伤害。
当你于一个法术上维持专注时，你在AC和所有豁免上获得+2加值。</t>
  </si>
  <si>
    <t>装甲师法术</t>
  </si>
  <si>
    <t>从第3级起，只要你达到相应的职业等级，装甲师法术表格中的法术总是被视为已准备。
这些法术对你来说是奇械师法术，且不会计入你可以准备法术的总数。
装甲师法术
奇械师等级 法术
3级 魔法飞弹，雷鸣波
5级 镜影术，粉碎音波
9级 催眠图纹，闪电束
13级 火焰护盾，高等隐形术
17级 穿墙术，力场墙</t>
  </si>
  <si>
    <t>引导神力：导引打击</t>
  </si>
  <si>
    <t>第2级起，你可以用引导神力特性作出精准的打击。你在进行攻击检定时，可以使用引导神力令该次检定获得+10加值。
你可以在看到掷骰结果后DM公布是否命中前，决定是否使用该特性。</t>
  </si>
  <si>
    <t>欺诈箭</t>
  </si>
  <si>
    <t>你的附魔魔法会让箭暂时欺骗目标。
被这发箭击中的角色会额外受到2d6的精神伤害，而且选择距离目标30尺内的一名队友。
目标必须成功通过一个感知豁免，或者被选择的队友魅惑直到你的下一个回合开始。
这个效果会提前结束如果被选择的队友攻击，伤害被魅惑的目标或者强迫其投豁免。
当你的战士等级到18级时该精神伤害增加到4d6。</t>
  </si>
  <si>
    <t>锋锐剑影</t>
  </si>
  <si>
    <t>第11级起，你能使用“气”进一步地增强你的武器。
你可以用一次附赠动作，消耗最多3点“气”灌注进你接触的一件剑圣武器，在你使用它攻击时获得攻击检定和伤害投骰的加值。
加值等于你为此消耗的“气”点数。
这一加值效果持续1分钟，除非你再次使用该特性。
该特性无法作用于一件已经提供攻击检定与伤害骰加值的魔法武器。</t>
  </si>
  <si>
    <t>警戒呵斥</t>
  </si>
  <si>
    <t>第15级起，你学会了如何惩罚那些对你与受你守护之人施行欺瞒的家伙。
当你或你30尺内一个你可见的生物在一次智力、感知或魅力豁免上成功时，你可以用反应对迫使你或该生物进行豁免检定的生物造成力场伤害，数值等同于你的魅力调整值加上2d8。</t>
  </si>
  <si>
    <t>雾行漫游</t>
  </si>
  <si>
    <t>从15级起，你可以在眨眼之间穿梭妖精荒原以进行移动:你可以施展迷踪步而不需要消耗法术位。
你可以这么做的次数等于你的感知调整值（最低一次），你在完成一次长休后重获所有的使用次数。
另外，每当你施展迷踪步时，你可以携带一个五尺以内你看得见的自愿生物与你一起移动。
那个生物会被传送到由你选择的，位于你的目标位置五尺以内的未被占据空间。</t>
  </si>
  <si>
    <t>灵能天赋</t>
  </si>
  <si>
    <t>从3级起，你的内在潜藏着一个心灵异能的源泉，当你以各种形式引导它时，其能量会上下起伏。
这一力量被表现为你的灵能骰，它的起始大小是d6。
你拥有等同于你熟练加值两倍数量的灵能骰，并且他们供你发挥出你拥有的多种灵能力量，这些选项在后面列出。
一些你的能力会消耗它们使用的灵能骰，如能力中确切描述的一样，而且你不能在你灵能骰全部用完的时候使用要求你使用灵能骰的能力。
你在完成一次长休之后恢复所有的灵能骰。
此外，作为一个附赠动作，你可以恢复一个你消耗的灵能骰，但是直到你完成一次短休或者长休之前，你都无法再次这样做。
每当你在这个职业中达到特定等级，你的灵能骰会增大，5级达到d8,11级d10,17级为d12.
下面的能力会用到你的灵能骰：
灵能诀窍：当你接受的常规训练没法让你搞定时，你的心灵异能会帮助你：如果你使用具有熟练项的技能或工具进行一次属性检定，但失败时，你可以掷灵能天赋骰，将掷骰结果加到检定结果中，这可能会让失败的检定变为成功，你只在灵能让检定成功时消耗灵能骰。
心灵低语：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</si>
  <si>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时械法术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</si>
  <si>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该法术必须为术士、邪术师或法师法术列表中的一个防护系或变化系法术。
术士等级—法术
1级—警报术，防护善恶
3级—援助术，次级复原术
5级—解除魔法，防护能量伤害
7级—行动自如，构装体召唤术
9级—高等复原术，力场墙
此外，你可以从秩序显迹表格中选择或掷骰决定一种你在施法时显现出与秩序之联系的方式。
时序显迹
D6：显迹
1：幽灵般的虚幻齿轮在你身后旋转。
2：时钟的指针出现在你的眼中。
3：你的皮肤发出如黄铜般的金属光泽。
4：你的体表浮动着方程式和几何图形。
5：你的法器短暂地变化成小巧的机械装置。
6：你和那些受到你法术影响的生物都会听到齿轮的滴答声或是钟表的响铃。</t>
  </si>
  <si>
    <t>暗影寿衣</t>
  </si>
  <si>
    <t>你可以随意施展 隐形术invisibility法术，且无需消耗法术位。
先决条件：第15级</t>
  </si>
  <si>
    <t>偏斜罩幕</t>
  </si>
  <si>
    <t>在14级时，你的奥术偏斜被灌注了致命的魔法。
当你使用你的奥术偏斜特性时，你可以让魔法能量从你身上涌出。
至多三个60尺内你能看见的目标受到半数于你法师等级的力场伤害。</t>
  </si>
  <si>
    <t>奥能装甲</t>
  </si>
  <si>
    <t>从第3级起，你对冶金的钻研让你的盔甲成为了实现你奇械师魔法的渠道。
只要你手持铁匠工具，就能以一个动作将你正穿着的一套重甲变成奥能装甲。
在穿着奥能装甲时，你获得以下好处：
如果你的盔甲通常对穿戴者的力量有要求，奥能装甲能让你无视它。
你能够将奥能装甲作为你奇械师法术的法器。
穿在你身上的奥能装甲除非你自愿，否则无法移除。
同时，奥能装甲能够扩展到复盖你的整个身体，并替换你所有缺失的肢体，替换肢体的部分拥有和正常肢体一样的功能。
转化为奥能装甲的盔甲会一直保有其功能，直到你脱下它、装上另一套盔甲、或你死亡。</t>
  </si>
  <si>
    <t>引导神力：战神祝福</t>
  </si>
  <si>
    <t>第6级起，身处你周边30尺范围内的一个生物进行攻击检定时，你可以用一个反应使用引导神力令该检定获得+10加值。
你可以在看到掷骰结果后DM公布是否命中前，决定是否使用该特性。</t>
  </si>
  <si>
    <t>爆裂箭</t>
  </si>
  <si>
    <t>你将从塑能魔法中汲取的力场能量注入到箭中，这股能量会在你攻击后爆炸。
当箭击中目标后，目标和其10尺内所有的角色都受到2d6的力场伤害。
当你的战士等级到18级时该力场伤害增加到4d6。</t>
  </si>
  <si>
    <t>精妙剑法</t>
  </si>
  <si>
    <t>第17级起，你对武器的运用更为精妙。
如果你使用武僧武器进行的攻击检定失败了，你可以重新掷骰。
该特性你每回合只能使用一次。</t>
  </si>
  <si>
    <t>尘世壁垒</t>
  </si>
  <si>
    <t>第20级起，你展现出神圣力量的火花，以捍卫凡人的世界。
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一旦你使用了此能力，你在完成一次长休息之前必须消耗一个5环法术位以再次使用此能力。</t>
  </si>
  <si>
    <t>龙兽守卫起源</t>
  </si>
  <si>
    <t xml:space="preserve">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龙兽守卫起源Drakewarden Origin d6起源 
1、你通过研究龙的鳞片或爪子，或一件从龙的宝库里找到的饰品，从这些徽记物上获取了残留的龙族魔法，构成了联结 
2、一个专门收集和保护龙族学问的游侠会社向你传授了他们的道途。 
3、一条龙给了你一枚晶球或宝石，并让你进行照看，你没想到的是，龙兽从这块石头里孵化了出来。 
4、你曾吞下了几滴龙血，永远给你的自然魔法注入了龙的力量。 
5、当你大声朗读巨石柱上的古代龙纹铭文后，你被赋予了力量。 
6、你做了一个逼真的梦，你梦见一个神秘的人物，有七只黄色的金丝雀伴随其左右，警告你即将到来的浩劫。当你醒来时，你的龙兽就在你的身边盯着你。 </t>
  </si>
  <si>
    <t>念刃</t>
  </si>
  <si>
    <t>从3级起，你能将自己的心灵异能塑造为由灵能构成的闪亮刀刃。
当使用攻击动作时，你能以空闲的手中塑造灵能之刃，并使用它来进行攻击。
念刃是一种魔法的简易近战武器，具有灵巧和投掷特性。
它的常规射程为60尺，没有最大射程，在命中后造成1d6+你用于攻击的属性调整值的心灵伤害。
念刃会在击中或未击中目标后立即消失，如果它造成伤害，其伤害不会在目标上留下痕迹。
当你使用念刃攻击后，只要你的另一只手空闲，就能以一个附赠动作塑造第二把念刃再进行一次近战或远程武器攻击。
此附赠攻击的伤害骰是1d4，而不是1d6。</t>
  </si>
  <si>
    <t>归复平衡</t>
  </si>
  <si>
    <t>从1级起，你与绝对秩序之位面的联系使你能重整混沌的时刻。
当你60尺内一个你可见的生物即将进行一次具有优势或劣势的检定时，你可以用反应使其免受优势或劣势的影响。
你可以使用此能力的次数等同于你的熟练加值。
每当你完成一次长休息，你重新获得已消耗的使用次数。</t>
  </si>
  <si>
    <t>莱维斯图斯之墓</t>
  </si>
  <si>
    <t>当你受到伤害时，你可以以一个反应将自己封锁在冰墓中，冰墓会在你的下一个回合结束时融解。你得到每邪术师等级10点的临时生命值，此临时生命值会尽可能的去抵消触发本反应的伤害。不过在受到伤害之后，你会立即获得火焰伤害的易伤，且速度降低至0，并且陷入 失能Incapacitated 状态。这些效果，以及剩余的全部临时生命值，都将在冰墓融解时结束。
使用本祈唤后，直到你完成一次短休或长休前，你都无法再次使用它。
先决条件：第5级</t>
  </si>
  <si>
    <t>战法兼修</t>
  </si>
  <si>
    <t>2级起，当你采用本传承，你获得轻甲熟练，并获得一种自选单手近战武器的熟练。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你的DM可以调整这一限制，使之更符合战役。
这一限制反映着被遗忘的国度中剑咏者的故事，不过这也许不适合你DM的设定，或者他那个版本的国度。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</si>
  <si>
    <t>装甲型号</t>
  </si>
  <si>
    <t>从第3级起，你能够定制你的奥能装甲。
当你这么做时，能够从以下两种型号中选择其一：守护者或渗透者。
你选择的型号会在你穿着时提供特殊的好处。每种型号都包括一种特殊武器。
当你使用该武器攻击时，你可以使用你的智力调整值，而不是力量或敏捷，来进行攻击和伤害检定。
只要你手上有铁匠工具，就可以在完成一次短休或长休后更换你的装甲型号。</t>
  </si>
  <si>
    <t>第8级起，你可以使你的武器充满神圣能量。你在每个自己回合里有一次机会，可以在用武器攻击命中某生物时，使该攻击额外造成1d8点与该武器伤害类型相同的伤害。14级时，该伤害提升到2d8。</t>
  </si>
  <si>
    <t>凋零箭</t>
  </si>
  <si>
    <t>你在你的箭上施展死灵魔法。
被这发箭击中的角色会额外受到2d6的黯蚀伤害。
目标必须成功通过一个体质豁免，或者他的武器攻击造成的伤害在你的下一个回合开始之前减半。
当你的战士等级到18级时该黯蚀伤害增加到4d6。</t>
  </si>
  <si>
    <t>阳炎箭</t>
  </si>
  <si>
    <t>从3级起，选择了这个范型的武僧可以投掷出灼热的箭矢。
你可以在攻击动作中使用一种特殊的远程法术攻击（射程30尺）。
你熟练于这次攻击，并且可以在攻击和伤害骰上加上敏捷调整值。
它造成光耀伤害，伤害骰为1d4。
伤害骰会随着你的等级增长而改变，参考武僧表中的武艺栏。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</si>
  <si>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龙族赠礼</t>
  </si>
  <si>
    <t>第3级龙兽守卫特性
通过与你龙兽的联结，你获得与龙族之间的联系，增强你的气场，赋予你知识，你获得以下增益 :
• 奇术Thaumaturgy。你习得戏法 奇术Thaumaturgy ，这对你而言是一个游侠法术。
• 龙之言语Tongue of Dragons。 你学会说，读，写龙语或另一门你选择的语言。</t>
  </si>
  <si>
    <t>灵魂之刃</t>
  </si>
  <si>
    <t>从9级起，你的念刃现在成为了你那充盈灵能之灵魂的具现，这使你能够通过以下的方式更好地控制它：
寻的攻击：如果在使用念刃进行的攻击中失手，你能掷灵能骰，将掷骰结果加到这次攻击检定中。如果这会使攻击变为命中，你将消耗一个灵能骰。
心灵传送：如果你的灵能天赋骰可用，你能通过投掷念刃来将自己传送到其他地方。以一个附赠动作，你塑造一把念刃，消耗并掷一个灵能骰，将念刃投掷到至多距离灵能骰结果数字10倍尺数的可见空闲区域。你传送到目标位置，同时念刃消失。</t>
  </si>
  <si>
    <t>律令之壁</t>
  </si>
  <si>
    <t>从6级起，你可以利用事物的壮丽联系为一个生物激发闪烁的秩序之盾。
以一个动作，你可以使用1至5术法点创造出一个环绕你或30尺内一个你可见的生物的魔法屏障。
此屏障持续存在直到你完成一次长休息或直至你再次使用此能力，屏障具有等同于你所消耗术法点数量的d8骰。
当被守护的生物受到伤害时，其可以消耗任意数量的这些d8骰，并使该伤害减少掷出结果的数值。</t>
  </si>
  <si>
    <t>诡术师的逃脱术</t>
  </si>
  <si>
    <t>你可以以自己为目标施展一次 行动自如freedom of movement 法术，且无需消耗法术位。完成一次长休后，你重获如此施展该法术的权利。
先决条件：第7级</t>
  </si>
  <si>
    <t>剑歌之术</t>
  </si>
  <si>
    <t>2级起，你可唤起一种特殊的精灵魔法——剑歌之术——只要你并未穿着中甲、重甲或使用盾牌。
它赐予你超自然的速度、敏捷与专注。
你可以用一个附赠动作开始剑歌，它将持续1分钟。
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你在敏捷（特技）检定上获得优势。
你在为维持法术专注所进行的体质豁免检定上获得加值，加值等于你的智力调整值（最少+1）。
你能使用本特性的次数等于你的熟练加值。
完成一次长休后，你将重获所有消耗掉的使用次数。</t>
  </si>
  <si>
    <t>守护者</t>
  </si>
  <si>
    <t>你将装甲设计为适合冲锋陷阵，它拥有下列特性：
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</si>
  <si>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战斗化身</t>
  </si>
  <si>
    <t>第17级时，你对非魔法武器造成的钝击、穿刺、挥砍伤害具有抗性。</t>
  </si>
  <si>
    <t>当这次攻击击中目标时，咒法魔法会创造一团紧抓着的毒性荆棘来困住目标。
被这发箭击中的角色会额外受到2d6的毒性伤害，他的速度减少10尺，当他在每个回合第一次不使用传送移动1尺以上的距离时他会受到2d6的挥砍伤害。
这个目标或其他能触碰到荆棘的角色可以使用一个动作，以一个成功对抗你的奥术射击DC的力量（体能）检定来解除荆棘。
否则，荆棘会在1分钟后或者你再次使用该选项时结束。
当你的战士等级到18级时该毒性和挥砍伤害增加到4d6。</t>
  </si>
  <si>
    <t>热能袭</t>
  </si>
  <si>
    <t>从6级起，武僧可以转换自己的气变为灼热的能量。
如果你在你的回合内进行了攻击动作，你可以立即消耗2点气来用附赠动作施放一环燃烧之手。
你可以花费额外的气来施展更高环的燃烧之手法术，每一点额外的气都使法术等级上升1环。
你最多可以在这个法术上花费的气（2+额外的点数）等同你一半的武僧等级（向下取整）。</t>
  </si>
  <si>
    <t>龙兽伙伴</t>
  </si>
  <si>
    <t>第3级龙兽守卫特性
以一个动作，你能魔法地召唤出与你联结的龙兽。龙兽会出现在你 30尺内一处由你选择的未被占据的空间里。
龙兽听从你的指令，并且对你和你的同伴友善。从龙兽伙伴数据卡中查看龙兽的游戏数据，其中有几处使用了你的熟练值（PB）。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
龙兽伙伴Drake Companion
小型龙类
--------------------------------------------------------------------------------
护甲等级：14+PB（天生护甲）
生命值：5+你游侠等级*5（龙兽拥有等同于你游侠等级数量的生命骰[d10]）
速度：40尺
--------------------------------------------------------------------------------
力量16（+3） 敏捷12（+1） 体质15（+2）
智力8（-1） 感知14（+2） 魅力8（-1）
豁免：敏捷+1+PB、感知+2+PB
伤害免疫：由龙族精粹特性决定
感官：黑暗视觉60 尺，被动感知12
语言：龙语
挑战等级：——  熟练加值（PB）：与你相同
--------------------------------------------------------------------------------
龙族精粹Draconic Essence。当你召唤龙兽时，选择一种伤害类型:强酸，寒冷，闪电，火焰，毒性。该伤害类型会影响伤害免疫和注能打击的伤害。
--------------------------------------------------------------------------------
动作Actions
啃咬Bite。近战武器攻击：命中+3+PB，触及5尺，单一目标，命中：1d6+PB点穿刺伤害。
--------------------------------------------------------------------------------
反应Reactions
注能打击Infused Strikes。当龙兽30尺内一个龙兽可见的生物用武器攻击命中一个生物时，龙兽能用它的精粹注能本次打击，使目标额外受到d6伤害，伤害类型与龙族精粹相同。</t>
  </si>
  <si>
    <t>灵能面纱</t>
  </si>
  <si>
    <t>从3级起，你可以编织一层灵能面纱来掩盖你。
以一个动作，你连同你所穿或携带的任何东西可以魔法性地隐形至多1小时，或直到你主动解除隐形（无需动作）。
如果你发动攻击或迫使一个生物进行豁免检定，则此隐身状态结束。
一旦你使用了此特性，除非你选择消耗一个灵能骰，否则将无法再次使用，直到你完成一次长休。</t>
  </si>
  <si>
    <t>序列意识</t>
  </si>
  <si>
    <t>从14级起，你获得了将你的意识和机械境无尽的计算达成同步的能力。
以一个附赠动作，你可以在1分钟内进入此种状态。
在此期间，对你进行的攻击免受优势的影响，且每当你进行一次攻击检定、属性检定或豁免检定时，你可以将d20掷出的9或以下的数值视为10。
一旦你使用了此能力，你在完成一次长休息之前必须消耗5术法点以再次使用此能力。</t>
  </si>
  <si>
    <t>护符牵绊</t>
  </si>
  <si>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先决条件：第12级邪术师，符之魔契</t>
  </si>
  <si>
    <t>6级起，当你在自己的行动轮内进行攻击动作，你可以攻击两次而不是一次。
此外，你还可以施展一个戏法以替代其中一次攻击。</t>
  </si>
  <si>
    <t>渗透者</t>
  </si>
  <si>
    <t>你出于某些特殊需要对你的装甲进行了定制，它拥有下列特性：
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</si>
  <si>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锻造领域法术</t>
  </si>
  <si>
    <t>牧师等级——法术
1st——鉴定术，炽焰斩
3rd——灼热金属，魔化武器
5th——元素武器，防护能量伤害
7th——鬼斧神工，火墙术
9th——活化物件，造物术</t>
  </si>
  <si>
    <t>穿透箭</t>
  </si>
  <si>
    <t>你使用你的变化系魔法使你的箭变得虚无缥缈。
当你使用该选项时，你不用为该次攻击投攻击骰，取而代之，这只箭会在消失前划出一条一尺宽30尺长的直线。
这只箭会无害地穿过物品且无视遮蔽。
每一个在这条直线上的角色都必须通过一个敏捷豁免。
如果失败，角色会受到如同被这只箭击中的伤害和额外1d6的穿刺伤害。
如果成功，伤害减半。
当你的战士等级到18级时该穿刺伤害增加到2d6。</t>
  </si>
  <si>
    <t>阳炎爆</t>
  </si>
  <si>
    <t>从11级起，武僧可以创造出一个纯粹的光能量球以引起一场毁灭性的爆炸。
以一个动作，你可以魔法般地创造一个球体并且向150尺内的任意一点投掷，在那里瞬间扩张成一个光芒四射的区域。
以目标点为中心半径20尺内的所有生物必须立即通过一次体质豁免，若未通过将受到2d6的光耀伤害。
若生物处于全掩护环境并且掩体不透光，那么他不需要进行豁免。
你可以花费额外的气以提高这个能量球的威力。
每花费1点可以使伤害上升2d6，上限3点。</t>
  </si>
  <si>
    <t>牙鳞之联</t>
  </si>
  <si>
    <t>第7级龙兽守卫特性
你与龙兽之间的纽带加强，激发龙兽的狂怒，为你提供保护。当你召唤龙兽时，一对翅膀在其背后长出，并获得与步行速度相等的飞行速度。 
此外，当召唤的龙兽在场时，你和龙兽获得以下增益:
• 龙兽坐骑Drake Mount。 龙兽成长为中等体型。作为你特别联结的反映，你能够将龙兽当做坐骑骑乘，即使你的体型也为中型。当你骑乘龙兽时，龙兽不能使用从本特性中获得的飞行速度。
• 魔法獠牙Magic Fang。 龙兽的啃咬攻击额外造成与龙族精粹伤害类型相同的d6伤害。
• 抗性Resistance。你获得与龙族精粹伤害类型相同的伤害抗性。</t>
  </si>
  <si>
    <t>撕裂心智</t>
  </si>
  <si>
    <t>从3级起，你能让你的念刃直接切削一个生物的心智。
当你使用念刃对一个生物造成偷袭伤害时，你能迫使其进行一次感知豁免检定（DC=8+你的熟练加值+你的敏捷调整值）。
若豁免失败，目标将在一分钟里前陷入震慑。
被震慑的目标可以在他的回合结束时重复豁免，如果成功将会移除这个效果在他身上的影响
一旦你使用了此特性，除非你消耗3个灵能骰否则将无法再次使用，直到你完成一次长休。</t>
  </si>
  <si>
    <t>时械矩阵</t>
  </si>
  <si>
    <t>从18级起，你召唤出秩序的精魂以抹除周遭的混乱。
以一个动作，你在以你为中心30尺立方空间的范围内召唤出精魂。
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一旦你使用了此能力，你在完成一次长休息之前必须消耗7术法点以再次使用此能力。</t>
  </si>
  <si>
    <t>魔能意志</t>
  </si>
  <si>
    <t>你为保持法术的专注所进行的体质豁免具有优势。</t>
  </si>
  <si>
    <t>守御之歌</t>
  </si>
  <si>
    <t>10级起，在剑歌激活期间，你可以导引你的魔法为你吸收伤害。
当你受到伤害，你可以用你的反应动作消耗一个法术位，使你受到的伤害数值下降那个法术位环数的五倍。</t>
  </si>
  <si>
    <t>从第5级起，你在自己回合内执行攻击动作时可以发动两次攻击而非一次。</t>
  </si>
  <si>
    <t>在1级时选择此领域，你获得重甲熟练和铁匠工具熟练。</t>
  </si>
  <si>
    <t>追踪箭</t>
  </si>
  <si>
    <t>使用预言魔法，你赋予你的箭自寻目标的能力。
当你使用该选项时，你不用为该次攻击投攻击骰，取而代之，选择一名在过去的1分钟里你见过的角色。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如果豁免失败，角色会受到如同被这只箭击中的伤害和额外1d6的穿刺伤害，而且你得知目标的确切位置。
如果成功，伤害减半且你无法得知其方位。
当你的战士等级到18级时该穿刺伤害增加到2d6。</t>
  </si>
  <si>
    <t>光辉护盾</t>
  </si>
  <si>
    <t>从17级起，武僧可以完全将自己包覆在魔法性的强光之中。
你发散出30尺的明亮照明和额外30尺的昏暗照明。
你可以以一个附赠动作将这个光芒熄灭或者恢复。
如果一个被光芒照耀的生物对你进行近战攻击并击中了你，你可以用你的反应对这个生物造成5+你的感知调整值的光耀伤害。</t>
  </si>
  <si>
    <t>龙兽吐息</t>
  </si>
  <si>
    <t>第11级龙兽守卫特性
使用一个动作，你能喷吐 30尺锥形的伤害吐息，或者你也能将喷射起点设为你的龙兽。选择强酸，寒冷，闪电，火焰，或毒性伤害。（你的选择和龙族精粹特性无关。）锥形范围内的生物进行一次敏捷豁免对抗你的法术DC，豁免失败时受到8d6伤害，成功时受到一半的伤害。
当你达到15级后，这一伤害将增长至10d6。
当你使用本特性后，你需要完成一次长休才能再次这样做。你也能使用一个三环或更高的法术位来再次使用。</t>
  </si>
  <si>
    <t>月之化身</t>
  </si>
  <si>
    <t>第1级月之术法特性
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次级复原术　　目盲术/耳聋术　　变身术 
 5th　　解除魔法　　　　吸血鬼之触　　魅影驹 
 7th　　防死结界　　　　困惑术　　　　幻景 
 9th　　拉瑞心灵联结　　怪物定身术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</si>
  <si>
    <t>遥远音讯</t>
  </si>
  <si>
    <t>一张新的书页出现在你的影之书中。在你的允许之下，一个生物可以使用一个动作来将他的名字写在这一页上，这一页能包括的名字数量等于你的熟练加值。
你可以以一个名字在这一页上的生物为目标，施展法术 短讯术mending ，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先决条件：第5级邪术师，书之魔契</t>
  </si>
  <si>
    <t>胜利之歌</t>
  </si>
  <si>
    <t>14级起，在你的剑歌激活期间，你将你的智力调整值（最低+1）加在你的近战武器伤害上。</t>
  </si>
  <si>
    <t>装甲改造</t>
  </si>
  <si>
    <t>从第9级起，你习得了如何通过奇械师注法对你的奥能装甲进行特殊改造。
奥能装甲现在你进行注法时，能够被视为下列独立物品：盔甲（胸甲）、靴子、护腕和武器。每件物品都能进行一次注法，此外，你的注法物品的上限增加2，但增加的部分只能用于为奥能装甲的一部分注法。</t>
  </si>
  <si>
    <t>锻造祝福</t>
  </si>
  <si>
    <t>在1级，你获得将魔法灌输到武器或护甲中的能力。
在长休的结束，你可以触摸一件非魔法护甲或者简易或军用武器，直到你下一次长休或者你死亡，若是护甲，其AC获得+1加值；若是武器，其攻击骰和伤害骰获得+1加值。
一旦你使用过此特性，直到你完成一次长休，你无法再次使用它。</t>
  </si>
  <si>
    <t>你施加幻术魔法到你的箭上，使其能用暗影蒙蔽敌人的视野。
被这发箭击中的角色会额外受到2d6的精神伤害，而且目标必须成功通过一个感知豁免，或者无法看见5尺之外的任何事物直到你的下一个回合开始。
当你的战士等级到18级时该精神伤害增加到4d6。</t>
  </si>
  <si>
    <t>往生咒</t>
  </si>
  <si>
    <t>从3级起，你对死亡的研究使你能在临近的生物逝去前抽取他们的生命力。
当你使一个5尺距离内的生物生命值下降到0点时，你得到你的感知调整值+武僧等级的临时生命值（最小1点）。</t>
  </si>
  <si>
    <t>完美联结</t>
  </si>
  <si>
    <t>第15级龙兽守卫特性
你与龙兽的联结抵达其力量的巅峰。当召唤的龙兽在场时，你和龙兽获得以下增益 :
• 强化啃咬Empowered Bite。龙兽的啃咬攻击额外造成与龙族精粹属性相同的d6伤害。（总共2d6额外伤害。）
• 大型龙兽Large Drake。你的龙兽成长为大型。当你骑乘龙兽时，使用飞行速度不再受限于牙鳞之联。
• 反射抗性Reflexive Resistance。当你与龙兽相距30尺内，你或你的龙兽受到伤害时，你能使用你的反应为你或你的龙兽对这次伤害提供抗性。你能使用本反应的次数与你的熟练值相等，当你完成一次长休后恢复所有的使用次数。</t>
  </si>
  <si>
    <t>月火</t>
  </si>
  <si>
    <t>第1级月之术法特性
你可以呼唤月亮的耀光为你所用。你习得法术圣火术Sacred Flame，此法术不计入你术士已知戏法总数内。当你施放此法术时，你可以如常选择一个生物作为目标，或是选择两个相互之间的距离在5尺以内的生物作为目标。</t>
  </si>
  <si>
    <t>守护馈赠</t>
  </si>
  <si>
    <t>一张新的书页出现在你的影之书中。在你的允许之下，一个生物可以使用一个动作来将他的名字写在这一页上，这一页能包括的名字数量等于你的熟练加值。
当一个名字在这一页上的生物生命值降为0，但是没有立刻死亡时，这个生物的生命值魔法性的变为1点。当这个魔法效应被触发后，该效应无法再被任何生物触发，直到你完成一次长休。
你也可以使用一个动作，触摸书页上的一条名字，魔法性的消除它。
先决条件：第9级邪术师，书之魔契</t>
  </si>
  <si>
    <t>时间变幻</t>
  </si>
  <si>
    <t>二级特性
你可以魔法地获取对单一生物周围的时间流动的有限控制。
在你或者30尺内你可以看见的一个生物进行一次攻击检定，属性检定或者豁免检定后，你可以以一个反应迫使该生物重投。
你可以在得知该检定是否成功后做出这一反应。
该生物必须使用第二次的结果。
你可以使用这一特性两次。
你在完成一次长休后重获所有已消耗的使用次数。</t>
  </si>
  <si>
    <t>完美装甲</t>
  </si>
  <si>
    <t>从第15级起，你的奥能装甲根据其型号获得下列额外好处。
守护者：对你奥能装甲能量系统的改进使你能够释放强大的拉力，当你可见的一个体型为巨型或更小的生物在距离你30尺内的地方结束其回合时，你能以一个反应迫使该生物对你的法术豁免DC进行一个力量豁免检定，失败将被拉向你最多30尺。
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
另外，下次针对发光生物的攻击检定具有优势，如果那次攻击命中，将额外造成1d6闪电伤害。</t>
  </si>
  <si>
    <t>引导神力:铁匠祝福</t>
  </si>
  <si>
    <t>从2级开始，你可以用你的引导神力来创造出简易的物品。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5尺范围内由你选择的一次未被占据的空间内形成实体。
你创造的物品的价值必须低于100gp。作为仪式的一部分，你必须提供与那物品价值等同的金属物品，这包括了各类钱币。仪式完成时，这些物品会不可逆地变成你创造的物品，甚至会被魔法转化为非金属的部分。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</si>
  <si>
    <t>当你在3级选择这个泛型时，你选择一下技能中的一个并获得其熟练：动物驯服，历史，洞察，表演和劝说。
或者，你学会一门你选择的语言。</t>
  </si>
  <si>
    <t>索命镰</t>
  </si>
  <si>
    <t>从6级起，你可以展现出你灵魂本质中的死亡阴影，使周围的人感到惊惧和恐慌。
以一个动作，你使距离你30尺内的所有能看见你的生物立即进行一次感知豁免。
若豁免失败，他们将对你恐慌直到你的下回合结束。</t>
  </si>
  <si>
    <t>月之恩泽</t>
  </si>
  <si>
    <t>第6级月之术法特性
你月之化身的月相能够影响你的超魔法特性。每个月之化身月相都与特定的魔法学派相关联，如下所示：
• 满月Full Moon.防护与预言法术
• 朔月New Moon.惑控与死灵法术
•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</si>
  <si>
    <t>链主赋能</t>
  </si>
  <si>
    <t>当你施展 寻获魔宠find familiar 时，你将一定程度的魔能力量灌注给被召唤的魔宠，给予这个生物以下的能力：
• 该魔宠获得40尺的飞行速度、或40尺的游泳速度（由你选择）。  
• 你可以使用一个附赠动作，指挥你的魔宠进行一次攻击动作。
• 该魔宠的武器攻击被视为魔法性的，用于克服对于非魔法攻击的免疫和抗性。  
• 若该魔宠强迫一个生物进行豁免检定，它使用你的法术豁免DC。  
• 若该魔宠受到伤害，你可以使用你的反应给予它仅对于那次伤害的抗性。
先决条件：链之魔契</t>
  </si>
  <si>
    <t>现世感知</t>
  </si>
  <si>
    <t>二级特性
你的先攻检定获得等同于你智力调整值的加值。</t>
  </si>
  <si>
    <t>锻造之魂</t>
  </si>
  <si>
    <t>从6级开始，你对锻造的精通为你带来特殊的能力：
• 你获得火焰伤害的抗性。
• 穿着重甲期间，你的ac获得+1加值。</t>
  </si>
  <si>
    <t>生而为骑</t>
  </si>
  <si>
    <t>3级起，你作为骑兵的资质是显而易见的。
在进行避免从你坐骑上摔下的豁免检定中，你获得优势。
若你从你的坐骑上摔落且摔落不超过10尺，你能够双脚着陆如果你没有失能。
最后，骑上或离开一个角色只需要你5尺的移动力，而非你速度的一半。</t>
  </si>
  <si>
    <t>握生死</t>
  </si>
  <si>
    <t>从11级起，你对死亡的熟悉使你可以避过它的抓捕。
每次你的生命值下降为0，你可以花费1点气（无需任何动作）使自己保留1点生命值。</t>
  </si>
  <si>
    <t>阴晴圆缺</t>
  </si>
  <si>
    <t>第6级月之术法特性
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</si>
  <si>
    <t>护符庇佑</t>
  </si>
  <si>
    <t>当佩戴者在一次豁免检定中失败，他们可以在骰掷结果上增加一个d4骰，这可能将结果变为成功。这一能力可使用的次数等于你的熟练加值，在你完成一次长休之后恢复所有已消耗的次数。
先决条件：第7级邪术师，符之魔契</t>
  </si>
  <si>
    <t>瞬时静止</t>
  </si>
  <si>
    <t>六级特性
以一个动作，你可以魔法地迫使60尺内你可以看见的一个大型或更小的生物进行一次对抗你法术豁免DC的体质豁免检定。
若失败，该生物将被禁锢于一个魔法力场中，直至你的下回合结束或者该生物受到任何伤害。
当以此法被禁锢时，该生物陷入失能，并且速度被降至0。
你可以使用这一特性等同于你智力调整值的次数（至少一次）。
你在完成一次长休后重获所有已消耗的使用次数。</t>
  </si>
  <si>
    <t>第8级起，你拥有将你锻造的火热力量灌输到武器打击中的能力。每个你自己的回合一次，当你的武器攻击命中，你可以对目标额外造成1d8的火焰伤害。14级时，该伤害将提升至2d8。</t>
  </si>
  <si>
    <t>坚定之印</t>
  </si>
  <si>
    <t>从3级起，你能够恐吓你的敌人，抑制他们的攻击并惩罚他们。
当你以一次近战武器攻击击中一名敌人时，你可以标记他直到你的下一个回合，这个效果会提前结束，如果你失能，死亡或者有其他人标记该敌人。
在你的5尺之内，该名被你标记的敌人的攻击骰承受劣势如果他的攻击不是以你为目标。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无论你标记了多少名角色，你能够使用的特殊攻击次数等同于你的力量调整值（至少为1），而且你在长休后重新获得所有被消耗的特殊攻击次数。</t>
  </si>
  <si>
    <t>长眠触</t>
  </si>
  <si>
    <t>从17级起，你可以将死亡的能量传入生物的体内。
以一个动作，你触碰一个5尺内的生物，同时花费1到10点气。
目标必须进行一次体质豁免，若失败将受到每点被耗费的气2d10的黯蚀伤害。
成功通过豁免可以使这个伤害降低到一半。</t>
  </si>
  <si>
    <t>月之赋能</t>
  </si>
  <si>
    <t>第14级月之术法特性
月相的力量渗入了你的存在本身。每当你处于月之化身中的月相时，你也会根据所选月相获得下列增益：
• 满月Full Moon. 你可以以一个附赠动作来散发出10尺明亮光照和额外10尺的微光光照，或是熄灭前述光照。此外，你和你选择的生物处于你散发的明亮光照之中时，智力（调查）和感知（察觉）检定具有优势。
• 朔月New Moon. 你在敏捷（隐匿）检定中具有优势。此外，当你完全处于黑暗中时，对你发动的攻击检定具有劣势。
• 新月Crescent Moon. 你具有黯蚀和光耀伤害的抗性。</t>
  </si>
  <si>
    <t>符令责斥</t>
  </si>
  <si>
    <t>当该护符的佩戴者被一个位于你30尺以内你可见的攻击者命中时，你可以使用你的反应来对该攻击者造成等同于你熟练加值的心灵伤害，并将其推离护符佩戴者至多10尺距离。
先决条件：符之魔契</t>
  </si>
  <si>
    <t>奥法暂滞</t>
  </si>
  <si>
    <t>十级特性
当你消耗一个四环或更低的法术位来施展法术时，你可以将该法术的法力浓缩至一抹微尘中。
该法术将冻结在施展的那一刻，并被保存在一个灰色的小珠中，持续一小时。
这个小珠是一个拥有15AC和1点生命值的物件，并免疫毒素和心灵伤害。
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</si>
  <si>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锻炉与烈焰的圣徒</t>
  </si>
  <si>
    <t>第17级起，你受火与金属的联系变得更为紧密：
• 你获得火焰伤害的免疫。
• 穿着重甲期间，你对源于非魔法攻击的钝击，穿刺，挥砍伤害有抗性。</t>
  </si>
  <si>
    <t>防护战术</t>
  </si>
  <si>
    <t>7级起，你学会如何抵御对你，你的坐骑和你附近角色的直接攻击。
如果你或者在你5尺之内对你可视的一名角色被一次攻击击中，你能以一个反应投一个1d8如果你手持一把近战武器或者一面盾牌，将骰值加入被攻击角色的AC中，如果这次攻击仍然击中，被攻击目标对这次攻击伤害有抗性。
你能够使用该特性的次数等同于你的体质调整值（至少为1），而且你在长休后重新获得所有被消耗的使用次数。</t>
  </si>
  <si>
    <t>命流之器</t>
  </si>
  <si>
    <t>从3级起，你获得洞悉和医药技能熟练项，以及你获得草药工具的熟练项。
你还可以获得一个特殊的面具，当你使用这个子职的特性时，你通常会戴着它。
你可以自由决定它的外观，或者通过命流面具表来投骰随机决定。
命流面具
D6 面具
1 渡鸦
2 黑白
3 哭脸
4 笑脸
5 骷髅
6 蝴蝶</t>
  </si>
  <si>
    <t>月之异象</t>
  </si>
  <si>
    <t>第18级月之魔法特性
以一个附赠动作，你可以激发你当前所处月之化身月相的特殊能力。或者，以你阴晴圆缺特性转换月相的附赠动作的一部分，你可以立刻使用你正进入的月相的能力：
• 满月Full Moon.你短暂地辐射出月光。每个你选择的距你30尺内的生物必须通过一次对抗你法术豁免DC的体质豁免，否则陷入目盲直到其下一回合结束。此外，该区域内一个你选择的生物恢复3d8生命值。
• 朔月New Moon.你瞬间散发出幽暗。每个你选择的距你30尺内的生物必须通过一次DC对抗你法术豁免DC的敏捷豁免，否则受到3d10黯蚀伤害，并且速度降为0至其下一回合结束。此外，你变为隐形，直至你下一回合结束。你进行攻击或施放法术后，隐形也会立刻结束。
•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</si>
  <si>
    <t>永恒奴役</t>
  </si>
  <si>
    <t>你可以在不消耗法术位的情况下使用 活化死尸animate dead 。每当你这么做时，你不能再次以这种形式使用该法术直到你完成一次长休。
先决条件：第5级邪术师</t>
  </si>
  <si>
    <t>收束未来</t>
  </si>
  <si>
    <t>十四级特性
你可以透视可能的未来，并魔法地将其中一个未来引导至你周遭发生的事物上，以确保特定的结果发生。
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
你只能通过长休来移除以此法获取的力竭。</t>
  </si>
  <si>
    <t>坟墓领域法术</t>
  </si>
  <si>
    <t>牧师等级——法术
1st——灾祸术，虚假生命
3rd——遗体防腐，衰弱射线
5th——回生术，吸血鬼之触
7th—— 枯萎术，防死结界
9th——防活物护罩，死者复活</t>
  </si>
  <si>
    <t>坚守战线</t>
  </si>
  <si>
    <t>10级起，你成为了封锁敌人的大师。
目标会承受来自于你的借机攻击当他们在你的攻击范围里移动了5尺以上的距离，而且如果你用借机攻击击中敌人，敌人的移动速度降为0直到当前回合结束。</t>
  </si>
  <si>
    <t>予命之手</t>
  </si>
  <si>
    <t>从3级起，你的玄秘之触能够愈合伤口。
以一个动作，你能花费1点气来接触一个生物，恢复目标1个你的武艺骰+感知调整值数量的生命值。
当你使用疾风连击时，你能在不消耗气的情况下用此特性替换一次徒手攻击。</t>
  </si>
  <si>
    <t>你的宗主是一位妖精的领主或女王，身为传奇生物的他们守护着凡人种族出现前就早已被遗忘的秘密。
他们的行为往往难以理解，有时甚至不可理喻，而其动机通常是关于寻求更强魔力，或是渴望报复老旧仇怨。
这类存在包括霜冻亲王、“薄暮议会”的统治者空暗女王、“仲夏议会”的泰坦尼娅和她的丈夫“苍翠之王”奥伯龙，以及“愚者亲王”希尔萨姆和各远古鬼婆们。</t>
  </si>
  <si>
    <t>调节密度</t>
  </si>
  <si>
    <t>2级重力魔法特性
使用一个动作，你能魔法地改一个物件或生物的重量，目标必须变位于你30尺内，且你能看见目标。
物件和生物必须为大型或更小的。
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
当一个生物的重量通过该效果翻倍时，该生物的移动速度减少10尺，并且在进行力量检定或者力量豁免时具有优势。
当在该职业到达10级时，你能对一个巨型或更小的物件或生物使用本特性。</t>
  </si>
  <si>
    <t>生死轮回</t>
  </si>
  <si>
    <t>在1级时，你获得了操控生死之线的能力。当你使用法术，投掷一枚或多枚骰子用于恢复生命值为0的生物的生命时，你的每粒治疗骰子都被视为骰出了满值。
此外，你习得戏法 维生术spare the dying ，其不计入你已知的牧师戏法数中。对你来说，此戏法具有30尺的施法范围，且你可以选择用附赠动作来施展它。</t>
  </si>
  <si>
    <t>野蛮冲撞</t>
  </si>
  <si>
    <t>从15级起，你能够冲击你的敌人。
无论你是否乘骑，如果你在攻击一名角色前至少直线移动10尺且这次攻击成功，目标必须通过一个力量豁免（DC8+你的熟练调整值+你的力量调整值）或者被击倒，每到你的回合你都可以使用一次该特性。</t>
  </si>
  <si>
    <t>夺命之手</t>
  </si>
  <si>
    <t>从3级起，你能用气来造成伤害。
当你用徒手攻击命中一个生物时，可以花费1点气来额外造成等于1个你的武艺骰+感知调整值的黯蚀伤害，每回合你能使用该特性一次。</t>
  </si>
  <si>
    <t>至高妖精扩展法术</t>
  </si>
  <si>
    <t>法术环阶——法术
1环——妖火，睡眠术
2环——安定心神，魅影之力
3环——闪现术，植物滋长
4环——支配野兽，高等隐形术
5环——支配人类，伪装术</t>
  </si>
  <si>
    <t>重力井</t>
  </si>
  <si>
    <t>6级重力魔法特性
你学会了如何在一个活体上操纵重力：无论何时你对一个生物释放法术，只要该目标自愿被移动，或是法术攻击命中了该目标，亦或是该目标在对抗这道法术的豁免时失败了，你就能让该目标朝着一个由你选择且未被占据的空间移动5尺。</t>
  </si>
  <si>
    <t>坟墓之眼</t>
  </si>
  <si>
    <t>在第1级，你获得偶尔可以意识到不死生物存在的能力。以一个动作，你可以伸张意识来魔法性地侦测周遭的不死生物。直到你的下回合结束前，你可以知晓周围60尺范围内的任何未处于全掩护之下或是没有被预言魔法保护的不死生物。这一感官并不会告诉你生物的能力与身份。
你可以使用此特性的次数等同于你的感知调整值次（至少1次），在你完成一次长休后你重获全部已被消耗的使用次数。</t>
  </si>
  <si>
    <t>警戒守卫</t>
  </si>
  <si>
    <t>18级起，你能用你的特殊警戒来造成伤害。
战斗中，你获得一个你可以在除你自己的回合以外的回合各使用一次的特殊反应，该特殊反应只能进行一次借机攻击，你不能在同一回合使用特殊反应和普通反应。</t>
  </si>
  <si>
    <t>生死之触</t>
  </si>
  <si>
    <t>从6级起，你可以通过接触来进行更有效的治疗，你也可以利用你的知识来造成伤害。
当你对一个生物使用予命之手时，你还可以结束一种疾病或影响该生物的下列状态之一：目盲、耳聋、麻痹、中毒或震慑。
当你对一个生物使用夺命之手时，你可以使该生物处于中毒状态，直到你的下一回合结束。</t>
  </si>
  <si>
    <t>妖精仪态</t>
  </si>
  <si>
    <t>第1级时，你的宗主授予你如同妖精一般魅惑和威吓他人的能力。
作为一个动作，你可以令以你为原点的10尺立方区域内所有生物进行一次对抗你法术豁免DC的感知豁免，豁免失败者直至你下一回合结束前受你魅惑或陷入对你恐慌（由你选择）。
你必须完成一次长休或短休后才能再次使用该特性。</t>
  </si>
  <si>
    <t>狂暴牵引</t>
  </si>
  <si>
    <t>10级重力魔法特性
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
当你完成一次长休后，你恢复所有的使用次数。</t>
  </si>
  <si>
    <t>引导神力:往墓之途</t>
  </si>
  <si>
    <t>从你2级开始，你可以使用你的引导神力来标记敌人，让他们的生命力走向衰亡。
以一个动作，你向你周围30尺内的一个可见生物降下诅咒。诅咒持续直到你下回合结束，在这期间，被诅咒的生物下一次被你或你的盟友的攻击命中时，它将对那次攻击的所有伤害具有易伤，之后，诅咒终止。</t>
  </si>
  <si>
    <t>当你在3级选择该泛型时，你获得以下你选择的技能熟练：历史、洞察、表演和劝说。
或者，你学会一门你选择的语言。</t>
  </si>
  <si>
    <t>活杀自在</t>
  </si>
  <si>
    <t>从11级起，你能施以疾风般的治疗与伤害。
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</si>
  <si>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雾遁</t>
  </si>
  <si>
    <t>第6级起，你在受到伤害时可以在一团迷雾中消失无踪。
你受到伤害时，可以使用你的反应进入隐形，并传送到60尺内一处你能看见且未被占据的空间。
直至你的下一回合开始，或直至你发动攻击或施法，你将维持隐形状态。
你必须完成一次长休或短休后才能再次使用该特性。</t>
  </si>
  <si>
    <t>事件视界</t>
  </si>
  <si>
    <t>14级重力魔法特性
使用一个动作，你能魔法地发散出由重力能量引起的强大力场，力场能把其他生物拖拽至多1分钟，或在你的专注终止（如同你专注法术一样）时结束。
在持续时间内，当一个位于你30尺内，且与你敌对的生物开始回合时，该生物必须进行一次力量豁免对抗你的法术DC。
当豁免失败时，该生物受到2d10的力场伤害，并且移动速度降低至0尺，减速持续直到该生物的下一个回合开始。
当豁免成功时，该生物受到一半的伤害，并且每移动一尺就需要额外花费2尺的移动力。
一旦你使用了本特性，你不能再次使用，直到你完成了一次长休或花费一个3环或更高的法术位来再次启动。</t>
  </si>
  <si>
    <t>死之门的哨卫</t>
  </si>
  <si>
    <t>从6级开始，你获得了阻碍死亡不发的能力。作为一个反应，当你或你30尺内的可见盟友承受了一次重击时，你可以将其转变为一次普通命中。且所有由那次重击引起的效应全部取消。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</si>
  <si>
    <t>战意</t>
  </si>
  <si>
    <t>3级起，你在战斗中的气势能保护你并帮助你精准攻击。
在你的回合以一个附赠动作，直到当前回合结束前你的武器攻击骰有优势。
当你这么做时，你还获得5点临时生命。
临时生命的数值会在你到达一定战士等级时增加，在10级时增加到10点，在15级时增加到15点。
你能使用该特性3次，你在完成一次长休后重新获得所有的使用次数。</t>
  </si>
  <si>
    <t>命极之手</t>
  </si>
  <si>
    <t>从17级起，你对生命能量的掌握打开了通往命流奥义的大门，以一个动作，你可以接触一个在过去24小时内死亡生物的尸体并消耗5点气，该生物则会复活，恢复相当于4D10+你的感知调整值的生命值。
如果该生物是在以下这些状态时死亡，它会在移除这些状态后复活：目盲、耳聋、麻痹、中毒和震慑。
一旦你使用了这个特性，你就不能再使用它，直至你完成一次长休。</t>
  </si>
  <si>
    <t>斗转星移</t>
  </si>
  <si>
    <t>第10级时，你的宗主教会你如何通过逆转敌人所施展的心智魔法对付其自身。
你获得魅惑状态的免疫，且当其他生物试图魅惑你时，你可以使用你的反应将魅惑效应反施予该生物。
该生物必须进行一次对抗你法术豁免DC的感知豁免，豁免失败者将受你魅惑，并持续1分钟。
该效应会在其受到任何伤害时终止。</t>
  </si>
  <si>
    <t>法师之笔</t>
  </si>
  <si>
    <t>2级起，以一个附赠动作，你能用魔法创造一支微型羽毛笔。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</si>
  <si>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雅臣</t>
  </si>
  <si>
    <t>7级起，你对于细节的严谨和专注让你能胜任各种公共场合。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</si>
  <si>
    <t>星我之臂</t>
  </si>
  <si>
    <t>从3级起，你对气的掌握允许你召唤出星我的一部分。
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</si>
  <si>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幻影黑幕</t>
  </si>
  <si>
    <t>第14级时，你可以使一个生物陷入虚幻领域中。
作为一个动作，你可以指定你周边60尺范围内一个你能看见的生物。
目标生物必须进行一次对抗你法术豁免DC的感知豁免。
豁免失败者将受你魅惑或因你而陷入恐慌（由你选择），并持续1分钟，或直至你的专注被打断（等同于你专注一个法术）。
如果该生物受到伤害，那么该效应提前终止。
直至幻象结束前，该生物都会以为自己迷失在了一个迷雾区域中，而区域的形象则由你选择。
该生物只看见和听到其自身、你和幻象三者。
你必须完成一次长休或短休才能再次使用此特性。</t>
  </si>
  <si>
    <t>觉醒魔典</t>
  </si>
  <si>
    <t>2级起，通过特别准备的墨水和书士会所传承的咒语，你唤醒了法术书中具有智能的奥法存在。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</si>
  <si>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引魂明灯</t>
  </si>
  <si>
    <t>从17级开始，你可以抓住游魂，摄取它的微少生命力来治疗活者的生命。当你周围60尺范围内你可见的敌人死亡时，你或由你选择的你周围60尺内的一个生物可以恢复等同于那个死亡敌人生命骰数量点的生命值。你只有未处于 失能Incapacitated 状态的情况下才能使用此特性。一旦你使用了此特性，直到你下回合开始前你无法再次使用它。</t>
  </si>
  <si>
    <t>不懈</t>
  </si>
  <si>
    <t>10级起，当你投先攻且没有剩余的战意使用次数时，你重新获得一次使用机会。</t>
  </si>
  <si>
    <t>星我之容</t>
  </si>
  <si>
    <t>从6级起，你可以召唤你的星我之容，以一个附赠动作，或者作为你召唤星我之臂时的附赠动作中的一部分，你可以花费1点气来召唤星我之容，持续10分钟，如果你失能或死亡，则它会立即消失。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
或者你可以放大你的声音，这种情况下600尺内的所有生物都能听到你的声音。</t>
  </si>
  <si>
    <t>邪魔</t>
  </si>
  <si>
    <t>你与某位下层位面的邪魔缔结了契约。
这些存在抱有邪恶的企图，但你不一定愿意与之同流合污。
邪魔们追求着世间万物的堕落与毁灭，而这连你本身也无法独善其身最终。
那些强大到能与凡人缔结契约的邪魔包括有狄摩高根、奥喀斯、弗拉兹厄鲁和巴弗灭这样的恶魔领主；阿斯蒙蒂斯、迪斯帕特、墨菲斯托费利斯和贝利亚这样的大魔鬼；一些特别强大的深狱炼魔和巴洛炎魔；以及奥登罗斯魔与其他尤格罗斯魔领主。</t>
  </si>
  <si>
    <t>神识显现</t>
  </si>
  <si>
    <t>6级起，你能将你觉醒法术书中的意识召唤出来。
当你持有该法术书时，你可以以一个附赠动作令书中的意识显现为一个微型的灵体物件，使其悬浮于距离你60尺以内且未被占据的、由你选择的空间中。
这一灵体意识是无形的，不会占据其空间，并会在其周围半径10尺范围内发出微光光照。
它看上去如同一本灵体卷宗、一摞文字、或是一位历史中的学者（由你选择）。
显现时，该灵体意识能够听音视物，并具有60尺的黑暗视觉。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以一个附赠动作，你可以令灵体意识飘浮到其周围30尺内、你或它可见且未被占据的空间。
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</si>
  <si>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奥秘领域法术</t>
  </si>
  <si>
    <t>1st 侦测魔法，魔法飞弹
3rd 魔化武器，涅斯图魔法灵光
5th 解除魔法，防护法阵
7th 秘法眼，李欧蒙秘藏箱
9th 异界誓缚，传送法阵</t>
  </si>
  <si>
    <t>燕返</t>
  </si>
  <si>
    <t>15级起，你学会如何将精准转化为迅捷。
如果你在这回合进行攻击动作且对目标的一个攻击骰有优势，你可以放弃那个优势骰转而对目标进行一次额外的武器攻击，作为同一个动作的一部分。
每个回合你都只能使用一次该特性。</t>
  </si>
  <si>
    <t>星我之躯</t>
  </si>
  <si>
    <t>从11级起，当你同时召唤星我之臂和星我之容时，你可以让你的星我之躯出现（不需要任何动作），这个幽光般的躯体如同一件盔甲般复盖着你的身体，与星我之臂和星我之容相连。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</si>
  <si>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邪魔宗主扩展法术</t>
  </si>
  <si>
    <t>法术环阶——法术
1环——燃烧之手，命令术
2环——目盲／耳聋术，灼热射线
3环——火球术，臭云术
4环——火焰护盾，火墙术
5环——焰击术，圣居</t>
  </si>
  <si>
    <t>书士宗师</t>
  </si>
  <si>
    <t>10级起，每当你完成一次长休，你可以令你的法师笔触碰一张空白的纸张或是羊皮纸，以将你觉醒魔典中的一个法术并复制到这张纸上、并制造一个魔法卷轴。
你制造卷轴时，魔典必须在你5尺之内，被复制的法术必须是1环或2环法术，且施法时间必须为1个动作。
卷轴将增强法术的力量，令其视为比平常高1环阶的法术。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</si>
  <si>
    <t>从1级起，你得到奥秘技能的熟练，并且你可以从法师法术列表选择两个戏法掌握。
对于你而言，这些戏法是牧师戏法。</t>
  </si>
  <si>
    <t>生死流转</t>
  </si>
  <si>
    <t>18级起，你的战意能延缓死亡的到来。
如果你受到会将你的生命值降到0且不会完全杀死你的伤害，你可以使用你的反应来延缓倒地昏迷，而且你立刻获得一个额外的回合并打断当前回合。
当你在这个额外回合为0生命值时，承受伤害仍旧如往常一样造成死亡豁免失败，而且失败3个死亡豁免仍旧会杀死你。
当这个额外回合结束时，如果你还是0生命值，你倒下并昏迷。
你使用这个特性后，你在完成一次长休前不能再次使用。</t>
  </si>
  <si>
    <t>星我觉醒</t>
  </si>
  <si>
    <t>从17级起，你与星我之间的连接趋近完美，你能够释放它的全部潜能。
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</si>
  <si>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黑暗赐福</t>
  </si>
  <si>
    <t>第1级起，每当你把一个敌对生物的生命值降至0，你都会获得等同于你的魅力调整值＋你的邪术师等级的临时生命值（最低为1）。</t>
  </si>
  <si>
    <t>书人合一</t>
  </si>
  <si>
    <t>14级起，你和你的觉醒魔法书的联系已经变得如此深刻，以至于你的灵魂已经和它缠结在一起。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
例如，如果骰值是9，则从书中消失的法术环阶之和至少为9——或许是一个9环法术，或是三个3环法术，或其他组合方式。
如果书中没有足够的法术来支付这个代价，你就会降到0点生命。
你必须完成1d6次长休，才能再次施放失去的法术；在此期间，即使你在卷轴上或其他法术书中找到这些法术，也不能施展它们。
完成所需的长休次数后，法术会重新出现在法术书中，用过这个反应之后，你必须完成一次长休才能再次使用。</t>
  </si>
  <si>
    <t>引导神力：奥秘阻绝</t>
  </si>
  <si>
    <t>从2级起，你可以使用你的引导神力来抵御外世界生物。
以一个动作，你可以展示你的圣徽，同时你选择一个30尺内能看见或者听见你声音的天界，元素，精类或者邪魔类生物进行一次感知豁免。如果他未通过，他在1分钟之内被驱散直到他受到任何伤害。
一个被驱散的生物必须使用他的回合尽力远离你，并且无法主动靠近你30尺以内。同时他们无法使用反应。在他们行动中，只能使用疾走或者从任何妨碍他们移动的效果中挣脱出来。如果没有任何地方移动，该生物使用闪避动作。
从5级起，如果一个挑战等级小于等于表内数值且不是这个位面原住民的生物在对抗你的奥秘阻绝能力时豁免失败，他将在1分钟之内被放逐（如同驱逐术，但不需要专注）。</t>
  </si>
  <si>
    <t>紫龙骑士是一个特殊的、与科米尔地区的骑士绑定的范型。</t>
  </si>
  <si>
    <t>神龙起源</t>
  </si>
  <si>
    <t xml:space="preserve">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神龙起源Ascendant Dragon Origin d6起源 
1、你通过观察巨龙并将自己的气与它们改天换地的力量相调谐来磨练自己的技艺。 
2、一位巨龙主动地帮助你修炼自身的能量。 
3、你所在修道院的教义可追溯到百年甚至数百年前一只巨龙的指导，或某位献身于龙神的存在。 
4、你在一个远古巨龙巢穴的影响范围内冥想良久，并凭此吸收了环境中的魔力。 
5、你找到了一张龙语卷轴，里面包含了令人顿悟的崭新技巧。 
6、你梦到了一名五首龙裔，而你醒来时，体内的气就已不同以往，宛如巨龙之息。 </t>
  </si>
  <si>
    <t>黑暗强运</t>
  </si>
  <si>
    <t>第6级起，你可以呼唤你的宗主有利的改写你的命运。
当你进行属性检定或豁免检定时，可以使用该特性为此次掷骰增添一个d10骰。你可在看到掷骰结果后，其结果生效前使用该特性。
直到你必须完成一次长休或短休才能再次使用该特性。</t>
  </si>
  <si>
    <t>幻想杀手</t>
  </si>
  <si>
    <t>从6级起，每次你使用1环或者更高环数的法术恢复了一名盟友的生命值，你同时可以选择作用于此生物的一个法术终止。
被终止的法术等级不能高于你用来施放恢复法术所占用的法术位。</t>
  </si>
  <si>
    <t>重整姿态</t>
  </si>
  <si>
    <t>从3级起，你学会了如何激励你的盟友来对抗伤害。
当你使用你的回气能力，你可以选择在你60尺范围内最多3个盟友，他们每个人都恢复等同于你的战士等级的生命值。
他们必须要能看到或者听到你的声音才能获得这个好处。</t>
  </si>
  <si>
    <t>龙之徒</t>
  </si>
  <si>
    <t>第3级神龙宗特性
通过引导你的龙之气，你可以将龙息的精华注入到你的徒手打击之中并依靠你与龙的牵绊来强化自身的气势。你获得以下好处：
• 龙之威仪Draconic Presence。如果你在一次魅力（威吓）或一次魅力（游说）检定中失败，你可以显现出巨龙的威仪，并用你的反应来重骰此检定。一旦此特性将一次检定结果从失败变为成功，直到你完成一次长休息你无法再使用此特性。
• 龙之打击Draconic Strike。当你以一次徒手攻击对一个目标造成伤害时，你可以将伤害类型改变为强酸，冷冻，火焰，闪电或毒素。
• 龙之言语Tongue of Dragons。你可以说、读、写龙语或其他一种你选择的语言。</t>
  </si>
  <si>
    <t>邪魔体魄</t>
  </si>
  <si>
    <t>第10级起，每当你完成一次长休或短休后你都可以选择一种伤害类型。
直到你使用此能力选择另外一种伤害类型之前，你都拥有对于所选伤害类型的抗性。
魔法武器或银质武器所造成的伤害无视此抗力。</t>
  </si>
  <si>
    <t>从8级起，在你的任何牧师戏法造成的伤害中加上你的感知加值。</t>
  </si>
  <si>
    <t>皇家特使</t>
  </si>
  <si>
    <t>从7级起，你熟练于说服技能。
如果你已经对这项技能熟练，你可以选择以下列表中的一项技能熟练：驯养动物，洞悉，威吓，表演。
你在进行魅力（说服）检定时可以将双倍的熟练值加在上面。
你始终获得这个好处，不管你是否从这个能力中得到了对于说服技能的熟练。</t>
  </si>
  <si>
    <t>龙之息</t>
  </si>
  <si>
    <t>第3级神龙宗特性
你可以引导气来将其化为毁灭性的能量波，如同你所模仿的巨龙。当你在你的回合进行攻击动作，你可以将其中一次攻击替换为喷吐出一团 20尺锥状或30尺长5尺宽线状（由你选择）的龙类能量。选择以下一种伤害类型：强酸，冷冻，火焰，闪电或毒素。范围内的每个生物必须通过一次对抗你的气豁免DC的敏捷豁免，豁免失败者将于受到等同两个你武艺骰的对应类型的伤害，豁免成功则伤害减半。
第11级时，你的吐息伤害提升到三个你的武艺骰。
你可以使用此特性的次数等同于你的熟练加值（ PB），且在完成一次长休后恢复所有使用次数。当你没有使用次数时，你可以花费2点气来使用此特性。</t>
  </si>
  <si>
    <t>直坠噩梦</t>
  </si>
  <si>
    <t>第14级起，每当你的攻击成功命中一个生物时，你可以使用此能力将目标瞬间传送并穿越下层位面。
该生物立刻消失并前往如同噩梦一般的风景。
在你下一回合结束时，目标返回先前所占据的空间、或是最近的未被占据空间。
如果目标并非邪魔，则他因这次可怖的经历而受到10d10点心灵伤害。
你必须完成一次长休才能再次使用该特性。</t>
  </si>
  <si>
    <t>奥术宗师</t>
  </si>
  <si>
    <t>从17级起，你从法师的施法列表中选择6环、7环、8环、9环法术各一，并将它们加入自己的领域法术列表。
你总是准备了它们，并且对你而言它们被视为牧师法术。</t>
  </si>
  <si>
    <t>振奋之潮</t>
  </si>
  <si>
    <t>从10级起，每当你使用你的动作如潮能力时，你可以选择一个在你周围60尺内的盟友，他可以立刻用他的反应进行一次近战或者远程武器攻击。
他必须要能看见或者听见你的声音才能获得这个好处。
从18级起，你可以选择两个盟友。</t>
  </si>
  <si>
    <t>龙翼翱翔</t>
  </si>
  <si>
    <t>第6级神龙宗特性
当你使用飞檐走壁时，你可以在背后展开虚幻的龙翼，其在你回合结束时消失。当龙翼存在时，你获得与你的步行速度相同的飞行速度。 
你可以使用此特性的次数等同于你的熟练加值，且在完成一次长休后恢复所有使用次数。</t>
  </si>
  <si>
    <t>你的宗主是一个神秘的存在实体，其本质与现实的结构格格不入。
它可能来自于遥远国度，现实之外的空间，或是一位只有在传说之中才能有所耳闻的古神。
其行为无法让凡人理解，其知识却异常的渊博，乃至世间最伟大的图书馆也无法与其掌握的虚空之秘想比拟。
旧日支配者可能完全没有意识到你的存在或是对你的存在无动于衷，但你所学的神秘知识让你得以从其身上获得魔法。
这类存在包括被称作“潜伏者”的关纳德、“受缚之神”萨瑞兹顿、“暗夜巨蛇”丹达尔、“归来者”扎贡、“伟大克苏鲁”，以及其他一些不可名状之存在。</t>
  </si>
  <si>
    <t>秩序领域法术</t>
  </si>
  <si>
    <t>1st——命令术，英雄气概
3rd——人类定身术，诚实之域
5th——群体治愈真言，缓慢术
7th——强迫术，生物定位术
9th——通神术，支配人类</t>
  </si>
  <si>
    <t>意志壁垒</t>
  </si>
  <si>
    <t>从15级起，你可以延展你的不屈能力作用于你的盟友。
每当你决定用不屈重投智力，感知或者魅力豁免并且你未处于失能状态，你可以选择一个在你60尺距离内对同样的效果豁免失败的盟友。
如果他能看见你或者听见你的声音，他可以重投豁免骰。
他必须采用新的结果。</t>
  </si>
  <si>
    <t>古龙姿</t>
  </si>
  <si>
    <t>第11级神龙宗特性
龙气力量从你体内散发，守护你的盟友并惩罚一切敢于对它们动武之徒。以一个附赠动作，你可以在你身边10尺内具现出一股持续1分钟的龙力灵光。在持续时间内，你选择并获得以下两种增益之一：
• 骇人威仪Frightful Presence。当你散发出此灵光时，或在维持此灵光时用一个附赠动作，选择灵光范围内的一个生物。目标必须成功通过相当于你气豁免DC的感知豁免，否则对你恐慌1分钟。目标可以在每次自己回合结束时重复一次豁免，豁免成功则效应中止。
• 抗性Resistance。你启动此灵光时选择一种伤害类型：强酸，冷冻，火焰，闪电或毒素。你和你灵光内的盟友对所选伤害类型具有抗性。 
一旦你散发出此灵光，直到你完成一次长休你都无法再这么做，除非你花费3点气来再次使用它。</t>
  </si>
  <si>
    <t>旧日支配者扩展法术</t>
  </si>
  <si>
    <t>法术环阶——法术
1环——不谐低语，塔莎狂笑术
2环——侦测思想，魅影之力
3环——鹰眼术，短讯术
4环——支配野兽，艾伐黑触手
5环——支配人类，心灵遥控</t>
  </si>
  <si>
    <t>第1级起，你获得重甲的熟练项。你还获得威吓、或游说技能的熟练项（由你选择）。</t>
  </si>
  <si>
    <t>显现回音</t>
  </si>
  <si>
    <t>3级回音骑士特性
你能使用一个附赠动作来在你可见的15尺内，一处尚未被占据的空间处，魔法地显现一个你自身的回音。
该回音是魔法的，半透明的，形如你的黑白形象，回音持续直到被摧毁、你用一个附赠动作消解、显现另一个回音，或你处于失能状态。
你的回音的AC值为14+你的熟练值，生命值为1，并对所有的状态都免疫。
如果回音要进行一次豁免，它在这次豁免中使用你的豁免调整值。
它的体型和你一样，并且会占据空间。
在你的回合时，你能精神地命令回音朝任意方向移动至多30尺（无需动作）。
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</si>
  <si>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神龙身</t>
  </si>
  <si>
    <t>第17级神龙宗特性
你的龙之魂巅峰造极。你获得以下好处：
• 强化吐息Augment Breath。当你使用你的龙之息时，你可以消耗1点气对其塑形并增强其威力。你呼出的龙类能量增长至60尺锥状或90尺长5尺宽线状（由你选择），且范围内的每个生物豁免失败时会受到等同四个你武艺骰的对应类型的伤害，豁免成功则伤害减半。
• 盲视Blindsight。你获得10尺盲视。在盲视范围内，即使你目盲或处于黑暗中，你仍可以清晰地看到任何不处于全身掩护的事物。而且，你可以在盲视范围内看到隐形生物，除非此生物对你躲藏成功。
• 怒气爆发Explosive Fury。当你使用古龙之姿时，龙族之怒从你体内爆发。选择你灵光内可见的任意数量的生物，每个生物必须通过一次对抗你的气豁免DC的敏捷豁免，豁免失败者受到3d10强酸，冷冻，火焰，闪电或毒素伤害（由你选择）。</t>
  </si>
  <si>
    <t>唤醒心灵</t>
  </si>
  <si>
    <t>第1级时，你的异界知识赋予你接触其他生物心灵的能力。
你可以与身边30尺内任意你能看见的生物通过心灵感应方式进行交流。
你不必须懂得该生物的语言也能使其理解你通过心灵感应所传达的话语，但它必须至少能够理解一种语言。</t>
  </si>
  <si>
    <t>权威之音</t>
  </si>
  <si>
    <t>从1级起，你可以调用律法的力量来驱使一位盟友进攻。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</si>
  <si>
    <t>释放化身</t>
  </si>
  <si>
    <t>3级回音骑士特性
你能增强你回音的狂怒。
无论何时你进行攻击动作，你能在回音的位置上进行一次额外的近战攻击。
你能使用本特性的次数等于你的体质调整值（最少一次）。
当你完成一次长休后，你恢复所有的使用次数。</t>
  </si>
  <si>
    <t>熵光结界</t>
  </si>
  <si>
    <t>第6级时，你习得了一种可以帮你抵挡攻击的魔法结界，并可将敌人失败的攻击转化为自己的幸运。
当一个生物对你发动攻击检定时，你可以用你的反应迫使该攻击检定具有劣势。
如果该攻击检定失败，则你直至你下一回合结束前，下一次对该生物发动攻击检定时具有优势。
你必须完成一次长休或短休后才能再次使用该特性。</t>
  </si>
  <si>
    <t>引导神力：秩序之令</t>
  </si>
  <si>
    <t>从2级起，你可以用你的引导神力来对他人施以恐吓。
以一个动作，你展示出你的圣徽，30尺内你所指定的每个能看到或听到你的生物必须成功通过一次感知豁免，否则直到你下个回合结束或受到一次伤害，生物将被你魅惑。
当生物豁免失败时，你还可以指定任意被你魅惑的生物扔掉手中所持物。</t>
  </si>
  <si>
    <t>回音化身</t>
  </si>
  <si>
    <t>7级回音骑士特性
你能暂时地将你的意识转移到回音上。
使用一个动作，你能用你的回音的双眼和双耳来视物与聆听。
在这期间，你本体处于目盲和耳聋状态。
你能维持这种效果至多10分钟，并且你能随时终止该效果（无需动作）。
当你用这种方法操纵回音时，它能远离你至多1000尺而不被摧毁。</t>
  </si>
  <si>
    <t>思维之盾</t>
  </si>
  <si>
    <t>第10级时，除非获得你的允许，否则你的思维无法被心灵感应或者其他手段阅读。
此外你还具有对心灵伤害抗性，且每当一个生物对你造成心灵伤害时，该生物将受到与你相同的伤害。</t>
  </si>
  <si>
    <t>法律化身</t>
  </si>
  <si>
    <t>从6级起，你变得十分擅于引导魔法能量来强迫他人。
如果你用一个1环或更高的法术位施展一个附魔学派的法术，倘若这个法术的施法时间是1动作，你可以在这次施法时将法术的施法时间改为1附赠动作。
你可以使用该特性的次数等于你的感知调整值（最少一次）。完成一次长休后，你将重获其所有消耗掉的使用次数。</t>
  </si>
  <si>
    <t>阴影殉道者</t>
  </si>
  <si>
    <t>10级回音骑士特性
在一个除你以外的，且你可见的生物受到攻击前，你能让你的回音冲向该生物。
在攻击检定投掷前，你能用你的反应动作来传送回音到目标生物周围5尺内，尚未被占据的空间。触发该反应的攻击检定将由你的回音代为承受。
一旦你使用本特性，直到你完成一次短休或长休前，你不能再次使用。</t>
  </si>
  <si>
    <t>创造奴仆</t>
  </si>
  <si>
    <t>第14级时，你从获得以宗主的异界魔法感染类人生物心智的能力。
你可以用你的动作触碰一个处于失能状态的类人生物。
该生物随即陷入受你魅惑的状态，直至被施以法术移除诅咒、其魅惑状态被移除，或直至你再使用此特性。
只要你和你的奴仆处于同一位面，你就可以通过心灵感应与你的奴仆进行交流。</t>
  </si>
  <si>
    <t>从8级起，你可以使你的武器充满神圣能量。你的每回合一次，在用一次武器攻击命中某一名生物时，你可以使该攻击造成额外的1d8心灵伤害。当你达到14级时，该伤害提升到2d8。</t>
  </si>
  <si>
    <t>回收潜能</t>
  </si>
  <si>
    <t>15级回音骑士特性
你已经学会吸收你回音上转瞬即逝的魔力。
当你的一个回音因承受伤害而被摧毁，而你也没有临时生命值时，你获得相当于2d6+体质调整值点数的临时生命值。
你能使用本特性的次数等于你的体质调整值（最少一次）。
当你完成一次长休后，你恢复所有的使用次数。</t>
  </si>
  <si>
    <t>你的宗主是上层位面的强大存在。
你和一位古老的至高天、炽天神侍、麒麟、独角兽，或其他居住于那些永享极乐的位面中的存在立下了契约。
你与它们的契约让你体会到裸身沐浴在照亮多元宇宙的圣光中的独特体验。
沐浴在如此力量中，会改变你的行为和信念。
你可能发现自己投身于消灭不死生物、抵御魔族、保护无辜者的事业当中。
不时地，你的心中会充斥着对你宗主拥有的天国的渴望，期冀于在你的余生中享有的天堂美景。
但你知道你现在的任务是栖身于凡世之中，并给世界的黑暗角落带去光明。</t>
  </si>
  <si>
    <t>秩序之怒</t>
  </si>
  <si>
    <t>从17级起，在你与盟友的共同努力下，你们所面对的敌人必将被毁灭。你回合内对一名生物造成了神圣打击的伤害后，你可以诅咒该生物。下一次当你的一名盟友以一次攻击命中被诅咒的生物时，目标将额外受到2d8心灵伤害，随后诅咒结束。你一回合只能以这种方式诅咒生物一次，且没有使用的诅咒将在你的下回合的开始时消失。</t>
  </si>
  <si>
    <t>一人成军</t>
  </si>
  <si>
    <t>18级回音骑士特性
当你用一个附赠动作使用显现回音时，你能创造两个回音，并且这些回音能够共存。
如果你尝试创造第三个回音，那么前面的两个回音就会被摧毁。
你能够在其中一个回音的位置上进行的所有事情都能用另一个回音进行替换。
此外，当你投掷先攻时，如果你的释放化身特性没有剩余可用次数，那么你重获一次释放化身的使用次数。</t>
  </si>
  <si>
    <t>天界宗主扩展法术</t>
  </si>
  <si>
    <t>法术环阶——法术
1st——疗伤术，曳光弹
2nd——炽焰法球，次级复原术
3rd——昼明术，回生术
4th——信仰守卫，火墙术
5th——焰击术，高等复原术</t>
  </si>
  <si>
    <t>和平领域法术</t>
  </si>
  <si>
    <t xml:space="preserve">牧师等级—法术
1st—英雄气概，庇护术
3rd—援助术，守护之链
5th—希望信标，短讯术
7th—净化灵光，欧提路克弹力法球
9th—高等复原术，拉瑞心灵连接
</t>
  </si>
  <si>
    <t>从3级起，你获得对于铁匠工具的熟练项，并且你学会了说、读和写巨人语。</t>
  </si>
  <si>
    <t>额外戏法</t>
  </si>
  <si>
    <t>在1级时，你学会了光亮术和圣火术两个戏法。
他们对你而言是契术师戏法，但并不计入到你的契术师可知戏法总数中。</t>
  </si>
  <si>
    <t>和平执行</t>
  </si>
  <si>
    <t>从1级起，你获得洞察，表演或游说的熟练项（由你选择）。</t>
  </si>
  <si>
    <t>符文雕刻者</t>
  </si>
  <si>
    <t>从3级起，你可以使用魔法符文来增强你的装备。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 
第3级：2
第7级：3
第10级：4
第15级：5
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如果一个符文需要通过豁免检定，你的符文魔法豁免DC等于8+你的熟练加值+你的体质调整值。</t>
  </si>
  <si>
    <t>治愈之光</t>
  </si>
  <si>
    <t>在1级时，你得到了引导天界能量以治疗伤口的能力。
你获得了一个d6骰池，用以使用此治愈能力。骰池的总数等于1+你的契术师等级。
以一个附赠动作，你可以消耗骰池，治疗一个你视线中的、距你60尺以内的生物。
单独一次能消耗的最大骰子数量等于你的魅力调整值（最小为1）。
投掷你消耗的骰子，将骰值相加来决定所能恢复的生命值总量。
当你完成一次长休后，骰池重获所有已消耗的骰子。</t>
  </si>
  <si>
    <t>勇气联结</t>
  </si>
  <si>
    <t>从1级起，你创造出一条力量的联结，联系彼此之间和平相处的人。以一个动作，你可以选择你周围30尺范围内等同于你熟练加值数量的自愿生物（可以包括你自己）。你在他们之间创造出一条持续10分钟的魔法联结。当任一联结生物的30尺范围内存在另一个或多个被联结的生物时，在他进行的攻击检定、属性检定、或豁免检定时，可以额外掷一枚d4并加入那次检定中。每个生物每回合只能因此加一次d4。若你再次使用此特性，上一条魔法联结就会立刻终止。 
你可以使用此特性的次数等同于你的熟练加值，当你完成一次长休时恢复所有使用次数。</t>
  </si>
  <si>
    <t>云之符文</t>
  </si>
  <si>
    <t>该符文模拟了一些云巨人使用的欺骗性法术。
当你穿着或持有一个铭刻此符文的物品，你在敏捷（巧手）检定和魅力（欺瞒）检定上获得优势。
此外，当你或一个对你30尺内可视的生物经过攻击检定被击中，你可以使用一个反应动作对此符文激活并选中一个除攻击者以外的其他生物。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</si>
  <si>
    <t>光耀之魂</t>
  </si>
  <si>
    <t>从6级开始，你所连接的天界宗主允许你成为光耀能量释放的渠道。
你获得对光耀伤害的抗性，当你施展一个造成光耀或火焰伤害的法术时，你可以将你的魅力调整值加到法术对其中一个目标造成的一次光耀或火焰伤害骰上。</t>
  </si>
  <si>
    <t>引导神力：和平抚慰</t>
  </si>
  <si>
    <t>从2级起，你可以用引导神力来减轻痛苦，慰籍心灵。以一个动作，你可以移动等同于你速度的距离，此次移动不会引发借机攻击。当你在此动作期间移动到了任意其他生物周遭5尺范围内时，你都可以为其恢复2d6+你的感知调整值的生命值（最低1点生命值）。每次你使用这个引导神力时，每个生物只能从其中获得一次治疗。</t>
  </si>
  <si>
    <t>火之符文</t>
  </si>
  <si>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
当目标被炽热镣铐束缚时，目标在它的每回合开始时受到2d6的火焰伤害。
目标可以在每个自己回合结束时重复进行此豁免检定，直到成功解除束缚。
每当你激活该符文，你无法再次使用该异能直到你完成一次短休或长休。</t>
  </si>
  <si>
    <t>天界韧性</t>
  </si>
  <si>
    <t>从10级开始，当你完成一次长休或短休后，你会得到临时生命值。
得到的临时生命值等于你的契术师等级+你的魅力调整值。
另外，在你完成休息时，你可以选择最多五个视线中的生物。
这些生物各自获得等于你的契术师等级的一半+你的魅力调整值的临时生命值。</t>
  </si>
  <si>
    <t>保护联结</t>
  </si>
  <si>
    <t>从6级起，你创造的联结帮助人们同甘共苦。
当一个受到你勇气联结影响的生物即将受到伤害时，30尺内的另一个联结生物可以用它的反应来传送到第一个生物的5尺内，并为其承受所有伤害。</t>
  </si>
  <si>
    <t>霜之符文</t>
  </si>
  <si>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十分钟内，你的所有使用力量、体质的能力和相关豁免检定获得+2的加值。
每当你激活该符文，你无法再次使用该异能直到你完成一次短休或长休。</t>
  </si>
  <si>
    <t>灼光复仇</t>
  </si>
  <si>
    <t>从14级开始，你引导的光耀能量能让你抵抗死亡。
当你在回合开始需要进行一次死亡豁免检定时，你可以选择在一次光耀能量的爆发中一跃而起。
你恢复等于你最大生命值一半的生命值，如果你愿意的话可以选择处于站立状态。
距你30尺以内的、你所选择的所有生物受到2d8+你的魅力调整值的光耀伤害，并且目盲到你当前回合的结束。
当你使用这个职业特性后，在你完成一次长休前你无法再次使用此能力。</t>
  </si>
  <si>
    <t>从8级起，你施展牧师戏法造成伤害时，可以再加上你的感知调整值。</t>
  </si>
  <si>
    <t>石之符文</t>
  </si>
  <si>
    <t>该符文的魔力可以引导和石巨人相关的智慧（judiciousness）。
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
如果检定失败，该生物被你魅惑一分钟。
如果以该形式被魅惑，此生物移动速度降为0且进入失能状态，陷入梦幻般的麻木状态。
目标可以在每个自己回合结束时重复进行此豁免检定，直到成功解除该状态。
每当你激活该符文，你无法再次使用该异能直到你完成一次短休或长休。</t>
  </si>
  <si>
    <t>你和一个来自堕影冥界的神秘实体订立了契约，那些由阴影物质雕琢的智能魔法武器隐约显露了其力量。
强悍的魔法剑黑刃是这些武器中最令人瞩目的，它在无数年间辗转于多元宇宙之中。
这些武器背后的暗影之力，能为与其立契的契术师提供力量。
许多咒剑契术师模仿那些在堕影冥界中锻造的武器塑造自己的兵刃，而其他人则选择放弃这些武器，转向链接堕影冥界的暗影魔法网络来施展法术。
鉴于人尽皆知是鸦后锻造出了最初的此类武器，许多贤者推测她就是暗影武器的幕后黑手，而这些武器——以及咒剑契术师们——都是她用来玩弄物质位面的是非，以实现她难以揣测的目的的工具。</t>
  </si>
  <si>
    <t>增强联结</t>
  </si>
  <si>
    <t>从17级起，你的勇气联结和保护联结的生效范围变为联结生物在彼此60尺内。此外，当生物使用保护联结来为其他人承受伤害时，该生物对那次伤害具有抗性。</t>
  </si>
  <si>
    <t>山丘符文</t>
  </si>
  <si>
    <t>该7级符文的魔力可以赋予如山巨人一般的坚韧。
当你穿着或持有一个铭刻此符文的物品，你在中毒状态的豁免检定上获得优势，且你对于毒素伤害具有抗性。
此外，你可以使用一个附赠动作对该符文激活，获得1分钟的钝击、挥砍和穿刺伤害抗性。
每当你激活该符文，你无法再次使用该异能直到你完成一次短休或长休。</t>
  </si>
  <si>
    <t>咒剑士扩展法术</t>
  </si>
  <si>
    <t>法术等级——法术
1st——护盾术，怒火斩
2nd——朦胧术，印记斩
3rd——闪现术，元素武器
4th——幻影杀手，惊惧斩
5th——放逐斩，寒冰锥</t>
  </si>
  <si>
    <t>暮光领域法术</t>
  </si>
  <si>
    <t>牧师等级—法术
1st—妖火，睡眠术
3rd—月华之光，识破隐形
5th—活力灵光，李欧蒙小屋
7th—生命灵光，高等隐形术
9th—原力法阵，假象术</t>
  </si>
  <si>
    <t>风暴符文</t>
  </si>
  <si>
    <t>通过使用该7级符文，你可以像一个风暴巨人预言者一样瞥见未来。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此外，你可以使用一个附赠动作对该符文激活来进入先知形态，时间为1分钟或直到你失能。
在该形态结束之前，当你或另一个60尺内且对你可见的生物进行一次攻击检定、一次豁免检定或一次能力检定，你可以使用一个反应动作使这次检定获得优势或劣势。
每当你激活该符文，你无法再次使用该异能直到你完成一次短休或长休。</t>
  </si>
  <si>
    <t>巫咒战士</t>
  </si>
  <si>
    <t>在1级时，你获得了有效的战斗训练。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</si>
  <si>
    <t>从1级起，你获得军用武器和重甲的熟练项。</t>
  </si>
  <si>
    <t>从3级起，你已经学会了如何使用巨人之力灌注自身。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</si>
  <si>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咒剑诅咒</t>
  </si>
  <si>
    <t>从1级起，你得到了向一个敌人施加恶毒诅咒的能力。
以一个附赠动作，选择一个处于你周围30英尺内，你能看见的生物。
该目标被诅咒1分钟。
该诅咒将会在目标死亡、你死亡、你陷入失能时提前结束。
直到诅咒结束，你得到下述的好处：
你对被诅咒目标的伤害检定中得到加值。加值等于你的熟练加值。
你对被诅咒目标的任何攻击检定，若在d20中投出19或20，则形成一次重击。
若被诅咒的目标死亡，你恢复等于你邪术师等级+你的魅力调整值（至少为1）的生命值。
你不能再次使用此特性，直到你完成了一次短休息或长休息。</t>
  </si>
  <si>
    <t>黑夜明目</t>
  </si>
  <si>
    <t xml:space="preserve">从1级起，你可以看穿最深邃的幽域。你获得300尺的黑暗视觉（或扩展到300尺），在这一范围内，你能够将微光光照视为等同于明亮光照，而在黑暗中则视为等同于微光光照。以一个动作，你可以魔法性的将这个特性分享给你10尺内最多等同于你感知调整值数量（最少1名生物）的可见自愿生物。共享的黑暗视觉持续1小时。一旦你使用此特性后，直到你完成一次长休位置你都不能再次分享视觉，不过你也可以消耗一个任意环阶的法术位来再次分享视觉。 </t>
  </si>
  <si>
    <t>符文之盾</t>
  </si>
  <si>
    <t>从7级起，你学会了激活你的符文魔法来保护你的盟友。
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</si>
  <si>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咒缚幽灵</t>
  </si>
  <si>
    <t>从6级开始，你可以诅咒一个命丧你手者的灵魂，暂时束缚它为你服务。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
缚灵：中等亡灵，混乱邪恶
AC：12（天生护甲）
HP：22（5d8）
速度：0尺，飞行50尺（盘旋）
力1（-5） 敏14（+2）体11（+0）智10（+0）感10（+0）魅11（+0）
伤害抗性：酸液，冰霜，火焰，闪电，音波；非魔法武器造成的挥砍、钝击和穿刺
伤害免疫：暗蚀，毒素
状态免疫：魅惑，力竭，束缚，麻痹，石化，中毒，倒地，被擒和昏迷
视野：黑暗视觉60尺，被动侦查10
语言：理解所有身前知道的语言但不会说
挑战等级：1（200XP）
无障碍移动：缚灵可以穿过其他生物移动就仿佛那是困难地形而已，如果回合结束它停在一个其他物体占据的格子里时受到5（1d10）点力场伤害。
阳光过敏：在阳光下，缚灵的攻击骰和基于视觉的感知检定处于劣势
行动
生命吸取：近战法术攻击：+4命中，5尺触及，单一生物。命中：10（3d6）暗蚀伤害。目标必须通过一个DC10的体质豁免或者最大生命下降等同于所受伤害的数值。这个效果持续到一个长休结束。若目标最大生命降为0或更低，则目标死亡。</t>
  </si>
  <si>
    <t>警觉赐福</t>
  </si>
  <si>
    <t>从1级起，夜晚教会了你时刻保持警惕。你能用一个动作触碰一个生物（可以是你自己），并赋予该生物下次先攻检定优势。此增益在该生物骰先攻检定后、或你再次使用此特性时立刻结束。</t>
  </si>
  <si>
    <t>奇伟身躯</t>
  </si>
  <si>
    <t>从10级起，符文的魔力永久性的改变了你。
当你获得该特性时，投掷3d4。
你的身高增加该骰结果的英寸数。
此外，你的巨人之力特性造成的额外伤害提高至1d8。</t>
  </si>
  <si>
    <t>巫咒盔甲</t>
  </si>
  <si>
    <t>在10级时，你的巫咒变得更加强大。
若你以咒剑诅咒所指定的目标以一次攻击检定击中你，你可以用你的反应投一次d6。
在4或更高的结果下，这次攻击改为对你失手，不论骰值是多少。</t>
  </si>
  <si>
    <t>引导神力：暮光圣域</t>
  </si>
  <si>
    <t>从2级起，你可以引导神力，用柔和的暮光来振作你盟友的精神。
以一个动作，你展示你的圣徽并使自身散发球体暮光。球体以你为中心，其半径为30尺，且其范围内被微光光照充斥。球体跟随你移动并持续存在1分钟，如果你陷入失能或是死亡，它也会提前消失。每当一个生物（包括你）在球体中结束它自己的回合时，你能给予它以下好处之一：
• 使目标获得等同于1d6+你牧师等级点的临时生命。
• 使目标结束一个正使他魅惑或恐慌的效应。</t>
  </si>
  <si>
    <t>符文大师</t>
  </si>
  <si>
    <t>从15级起，你可以对每个你在符文雕刻者特性中已知的符文激活两次，而不是一次，且你可以在完成一次短休或长休之后恢复所有已使用的次数。</t>
  </si>
  <si>
    <t>巫咒大师</t>
  </si>
  <si>
    <t>从14级起，你可以转移你的咒剑诅咒，从一个被杀的生物转移到另一个生物。
当被你的咒剑诅咒所指定的生物死亡时，假如你并未失能，你可以将诅咒转移到一个距离你30尺内你能看到的其他生物身上。
当你以此法转移诅咒，你不再从先前目标的死亡中获得生命值回复。</t>
  </si>
  <si>
    <t>午夜飞步</t>
  </si>
  <si>
    <t>从6级起，你使用夜晚的神秘力量来飞上空中。
你使用夜晚的神秘力量来飞上空中。当你处于微光光照或黑暗中时，你能以一个附赠动作用魔法使自己获得等于自身步行速度的飞行速度，持续1分钟。
你可以使用此特性的次数等同于你的熟练加值，当你完成一次长休时重获全部已消耗的使用次数。</t>
  </si>
  <si>
    <t>符文主宰</t>
  </si>
  <si>
    <t>从18级起，你学会增强你对于符文力量的转换。
因此，你的巨人之力特性造成的额外伤害提高至1d10。
此外，当你使用该特性时，你的体型变为巨型，且当你保持该尺寸时，你的触及提高5尺。</t>
  </si>
  <si>
    <t>你的宗主早已破译了有关无穷生命的奥秘，死亡对于他而言不再有任何威胁。
他不介意和一个凡人——在他看来寿命有如四季般更替、有如昼夜般闪烁的凡人分享他的力量，作为服务于他的一点奖赏。
这类存在包括万隐万秘之主宰维克那，邪恶者伊乌兹，不朽殿的艾伦诺，吉斯洋基人的君王维拉基斯，还有不死的黑袍巫师费斯坦但提勒斯。</t>
  </si>
  <si>
    <t>从8级起，你可以使你的武器充满神圣能量。你在每个自己回合里有一次机会，可以在用武器攻击命中某生物时，使该攻击额外造成1d8点光耀伤害。14级时，该伤害提升到2d8。</t>
  </si>
  <si>
    <t>灵能力量</t>
  </si>
  <si>
    <t>从3级起，你内心拥有一个灵能力量的源泉。这股能量表现为每个d6的灵能骰，你拥有两倍熟练加值的灵能骰数量，且它们为你所拥有的各种心灵异能提供能量，详情如下。
你在使用一些能力时需要消耗灵能骰，如异能描述中所述，如果一些异能在你的灵能骰全部掷完后还需要你使用一个灵能骰，你就不能使用该异能。
你可以在完成一次长休后恢复所有已使用的灵能骰。
此外，你可以使用一个附赠动作重新获得一个已使用的灵能骰，但你在完成一次短休或长休之前不能再次获得。
当你升级到特定战士等级时，你的灵能骰大小有所增长：第5级[d8]，第11级[d10]，第17级[d12]。
可以在以下异能使用你的灵能骰：
庇护力场：当你或者另一个对你30尺内可见的生物受到伤害，你可以使用一个反应动作消耗一枚灵能骰，对其降低等同于灵能骰骰出的数值加你的智力调整值的伤害（最小为1），如同你创造了一面瞬间的念力盾牌。
灵能击打：你可以用灵能驱动你的武器，你的每回合一次，当你击中并对30尺以内的目标造成武器伤害，你可以立即消耗一个灵能骰，对目标造成等同于灵能骰骰出的数值加你的智力调整值的力场伤害。
念力控物：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</si>
  <si>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不朽者扩展法术列表</t>
  </si>
  <si>
    <t>1st 虚假生命，致病射线
2nd 目盲术/耳聋术，沉默术
3rd 假死术，死者交谈
4th 生命灵光，防死结界
5th 疫病术，通晓传奇</t>
  </si>
  <si>
    <t>暮光守护</t>
  </si>
  <si>
    <t>从17级起，暮光拥抱着你并提供保护，处于你暮光圣域的球体内的你和你的盟友处于半身掩护。</t>
  </si>
  <si>
    <t>念力擅长</t>
  </si>
  <si>
    <t>从7级起，你已经掌握了使用念力异能的新方式，细节如下。
灵力跃动：你可以使用一个附赠动作用你的意志来驱使你的身体。
你获得等同于两倍步行速度的飞行速度直到该回合结束。
每当你使用这个附赠动作，你无法再次使用该异能直到你完成一次短休或长休，除非你消耗一个灵能骰来再次使用该异能。
念力突刺：当你使用灵能击打对一个目标造成伤害时，你可以使目标进行一次力量豁免来对抗DC等于8+你的熟练加值+你的智力调整值。
如果豁免失败，你可以击倒目标或者将其在任意方向水平移动至多10英尺。</t>
  </si>
  <si>
    <t>历经死亡</t>
  </si>
  <si>
    <t>从1级起，你学会戏法维生术，并将它视作一个邪术师戏法。
你同时在对任何疾病的豁免上具有优势。
此外，不死生物将更难伤害你。
若有不死生物直接指定你为攻击或者有害法术的目标，这个生物必须进行一次感知豁免来对抗你的施法DC（但他不需要在使用包括你在内的区域能力时进行豁免，比如火球术）。
若失败，这个生物必须选择一个新的目标，如果他没有除你以外的目标可以选择则他失去这次法术或者攻击。
若他成功通过了豁免，或者你以他为目标进行攻击或者施放有害法术，那么这个不死生物在接下来24小时里对这个效果免疫。</t>
  </si>
  <si>
    <t>意念守护</t>
  </si>
  <si>
    <t>从10级起，被灵能力量沐浴的你，意念得到增强，你对于心灵伤害有抗性。
此外，如果你在你的回合开始时处于魅惑或者恐慌的状态，你可以消耗一个灵能骰并结束这些状态对你的影响。</t>
  </si>
  <si>
    <t>反抗死亡</t>
  </si>
  <si>
    <t>从6级起，你为成功欺骗了死亡而感到振奋。
当你成功进行一次死亡豁免，或者在你使用维生术帮助其他生物稳定伤势的时候，你可以立即回复1d8+你的体质调整值（最少为1点）的生命值。
一旦你使用了这个能力，直到一次长休息之前你不能再次使用。</t>
  </si>
  <si>
    <t>壁垒之力</t>
  </si>
  <si>
    <t>从15级起，你可以使用念力庇护你自己和其他人，你可以使用一个附赠动作选择一些可包括你在内且30尺对你可见生物，数量等于你的智力调整值（最少为1）。
每个被选中的生物获得一分钟的半掩蔽状态，该状态将会在你失能时提前结束。
每当你使用这个附赠动作，你无法再次使用该特性直到你完成一次长休，除非你消耗一个灵能骰来再次使用该特性。</t>
  </si>
  <si>
    <t>不朽之理</t>
  </si>
  <si>
    <t>从10级起，你可以无限制地屏住呼吸，并且你不再需要食物、水和睡眠，虽然你仍旧需要休息来恢复疲惫并且从长/短休息中获得收益。
并且，你的年龄增长速度被放慢。
每过去10年，你的身体只会衰老1年，并且你免疫魔法衰老。</t>
  </si>
  <si>
    <t>念力宗师</t>
  </si>
  <si>
    <t>从18级起，你用意念移动生物和物体的能力无人能及，你可以在无需施法材料的情况下使用心灵遥控（Telekinesis），此时你的施法关键属性为智力。
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</si>
  <si>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永恒生命</t>
  </si>
  <si>
    <t>从14级起，你从你的宗主处窥探到一些有关于永恒的奥秘。
在你的回合，你可以使用一个附赠动作恢复1d8+邪术师等级的生命值。
此外，如果你在使用这个能力的同时把自己一部分被切断的躯体放置在断口处，那部分伤口将会愈合。
一旦你使用了这个能力，直到一次长/短休息之前你不能再次使用。</t>
  </si>
  <si>
    <t>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d4 种类  对应元素
1 土巨灵 土
2 气巨灵 气
3 火巨灵 火
4 水巨灵 水</t>
  </si>
  <si>
    <t>巨灵扩展法术列表</t>
  </si>
  <si>
    <t>当你学习一个邪术师法术时，你的巨灵宗主扩宽了你的可学习法术范围。
巨灵扩展法术表包含加入到了邪术师法术列表中的巨灵法术和与你的巨灵宗主类型相关的法术。
全巨灵—土巨灵—气巨灵—火巨灵—水巨灵
一环—侦测善恶—庇护术—雷鸣波—燃烧之手—云雾术
二环—魅影之力—荆棘丛生—造风术—灼热射线—朦胧术
三环—创造食粮—融身入石—风墙术—火球术—雪雨暴
四环—魅影杀手—塑石术—高等隐身术—火焰护盾—操控水体
五环—造物术—石墙术—伪装术—焰击术—寒冰锥
九环—许愿术—无—无—无—无</t>
  </si>
  <si>
    <t>巨灵器皿</t>
  </si>
  <si>
    <t>从1级起，你的宗主赐予你一个包含巨灵之力的魔法器皿。
该器皿是一个微型物件，你可以将其作为施展你邪术师法术的法器。
你决定物件的类别，或者你可以通过巨灵器皿表来决定。
【巨灵器皿】：d6 器皿种类  
1 油灯 
2 瓮 
3 可装东西的戒指 
4 被塞住的瓶子 
5 空心小雕像 
6 华丽提灯 
当你触碰器皿时，你可以用以下方式使用它：</t>
  </si>
  <si>
    <t>瓶中小憩</t>
  </si>
  <si>
    <t>以一个动作，你可以用魔法消失并进到你的器皿内，器皿将留在你所在的原地。
器皿内是与其本身相似的20尺半径，20尺高的圆柱形超维度空间。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</si>
  <si>
    <t>巨灵之怒</t>
  </si>
  <si>
    <t>在你的每个回合仅限一次，你可以在你攻击骰命中时对目标造成等同于你熟练加值的额外伤害。
伤害类型取决于你的宗主类型：钝击（土巨灵），雷鸣（气巨灵），火焰（火巨灵），冷冻（水巨灵）。
器皿的AC等同于你的法术豁免DC，它的生命值等于你的邪术师等级加熟练加值，并免疫于毒素和心灵伤害。
倘若器皿被摧毁或是丢失，你可以进行一场持续1小时的仪式来从你的宗主处获得一个替代品。
这一仪式可于短休或长休时进行，并会摧毁之前仍存在的器皿。
当你死亡时，器皿在一阵元素能量的闪耀中消失。</t>
  </si>
  <si>
    <t>元素赐福</t>
  </si>
  <si>
    <t>从6级起，你逐渐显露出你的巨灵宗主的特质。
你对由你的宗主类型决定的一种伤害类型具有抗性：钝击（土巨灵），雷鸣（气巨灵），火焰（火巨灵），冷冻（水巨灵）。 
同时，以一个附赠动作，你可以获得一个持续10分钟的30尺飞行速度，并且在飞行时你可以悬浮。
你可以使用此附赠动作的次数等同于你的熟练加值，并在完成一次长休后恢复所有使用次数。</t>
  </si>
  <si>
    <t>器皿庇护所</t>
  </si>
  <si>
    <t>从10级起，当你使用瓶中小憩特性进入你的巨灵器皿时，你可以选择30尺内最多5个可见自愿生物与你一同进入器皿。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</si>
  <si>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有限许愿术</t>
  </si>
  <si>
    <t>从14级起，你祈求你的宗主，并实现你的小小愿望。
以一个动作，你可以向你的巨灵器皿说出你的愿望，并请求实现一个6环或更低环阶的，且施法时间为1动作的法术效应。
这一法术可以来自任何职业的法术列表，且你不需要满足法术材料需求，法术仅仅是作为此动作的一部分生效。
你使用此特性后，你直到完成1d4次长休后才能再次使用它。</t>
  </si>
  <si>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</si>
  <si>
    <t>深海扩展法术列表</t>
  </si>
  <si>
    <t xml:space="preserve">当你学习一个邪术师法术时，你的深海宗主赐予你将以下法术加入邪术师法术列表进行选择的权力。
法术环阶 法术 
一环 造水/枯水术，雷鸣波 
二环 造风术，沉默术 
三环 闪电束，雪风暴 
四环 操控水体，元素生物召唤术（仅限水元素，该法术出自第三章） 
五环 毕格比之手(以触手的形式出现)，寒冰锥 </t>
  </si>
  <si>
    <t>深海触手</t>
  </si>
  <si>
    <t>从1级起，你可以以魔法的形式召唤一根幽灵触手攻击你的敌人。
在你60尺的可视范围内，你可以以一个附赠动作创造一根10尺长的触手。
这根触手可以持续一分钟，或于你使用该能力创造另一根触手时终止。
当你创造触手后，你可以对其10尺内的目标进行一次近战法术攻击。
目标受到1d8寒冷伤害，且直到你的下一回合，目标速度降低10尺，当你达到邪术师10级时，造成的伤害提高至2d8。
在你的回合中，你可以使用一个附赠动作将触手移动至多30尺并重复以上攻击。
你可召唤的触手的次数等于你的熟练加值，且可以在结束长休之后恢复所有使用次数。</t>
  </si>
  <si>
    <t>海洋馈赠</t>
  </si>
  <si>
    <t>从1级起，你游泳速度为40尺，且可以在水下呼吸。</t>
  </si>
  <si>
    <t>海渊魂灵</t>
  </si>
  <si>
    <t>从6级起，深海对你来说如家一般熟悉，你获得对于寒冷伤害的抗性。
此外，当你被浸没时，任何完全被浸没的生物都能听懂你的语言，你也能听懂他们的。</t>
  </si>
  <si>
    <t>守卫缠绕</t>
  </si>
  <si>
    <t>从6级起，你的深海触手可以保护你和其他人，用自己将你们和危险隔开。
当你或你可以看见的一个位于触手10尺内的生物承受伤害时，你可以使用反应选择这些生物中的一个并使该生物遭受的伤害减少1d8，当你达到邪术师10级时，触手可以抵消的伤害增加到2d8。</t>
  </si>
  <si>
    <t>擒握触手</t>
  </si>
  <si>
    <t>从10级起，你获得法术艾伐黑触手。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</si>
  <si>
    <t>海渊传送</t>
  </si>
  <si>
    <t>从14级起，你可以魔法性地打开一个前往水域目的地的临时通道。
你可以使用一个标准动作传送自己和最多五个自愿、且在30尺可视范围内的生物。
在一团触须的漩涡中，你们全部消失，然后在至多1英里以内的你曾见过的水域（至少为池塘大小）或者它的30尺范围内。
你们当中的每一个人都出现在距离其他人30尺以内的一个空的空间内。
一旦你使用了这一特性，你不能再次使用它直到你完成一次短休或长休。</t>
  </si>
  <si>
    <t>扩展法术列表</t>
  </si>
  <si>
    <t xml:space="preserve">第1级死灵宗主特性
当你学习邪术师法术时，死灵宗主让你能从扩大的法术列表中选择，将以下法术为你添加到邪术师法术列表中。
死灵宗主扩展法术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</si>
  <si>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t>战栗形态</t>
  </si>
  <si>
    <t>第1级死灵宗主特性
你显现出你宗主可怕力量的一个侧面。以一个附赠动作，你变身持续1分钟。变身时你获得以下好处：
• 你获得等于1d10+你的邪术师等级的临时生命。
• 在你的每个回合中一次，当你攻击检定命中一个生物时，你可以强迫其进行一次感知豁免。若失败，目标直到你的下一个回合结束陷入对你的恐慌。
• 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</si>
  <si>
    <t>坟冢之触</t>
  </si>
  <si>
    <t>第6级死灵宗主特性
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</si>
  <si>
    <t>死疽躯壳</t>
  </si>
  <si>
    <t>第10级死灵宗主特性
你与亡灵和黯蚀能量的联系现在充斥着你的身体。你对黯蚀伤害具有抗性。如果你使用战栗形态变身，你改为会对黯蚀伤害免疫。
此外，当你的生命值降低到0时，你可以使用反应，改为将生命值降低到1，并使你的身体爆发出死亡能量。你周围30英尺内的每个你选择的生物都会受到相当于2d10+你的邪术师等级的黯蚀伤害。你获得1级的力竭。一旦你使用该反应，直到你完成1d4次长休为止你不能再次使用。</t>
  </si>
  <si>
    <t>灵魂投射</t>
  </si>
  <si>
    <t>第14级死灵宗主特性
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1小时，或者直到你的专注中断（如同专注于一个法术）。当你的投射结束时，你的灵魂会回到你的身体，或者你的身体会魔法地的传送到你灵魂所在的空间（由你选择）。
当投射你的灵魂时，你获得以下好处：
• 你的灵魂和身体获得对钝击、穿刺和挥砍伤害的抗性。
• 当你施放一个咒法学派或死灵学派的法术时，该法术不再需要语言、姿势或不消耗金币的材料成分。
• 你获得等于你步行速度的飞行速度，并且可以在空中悬浮。你可以如同穿过困难地形一般穿过生物和物体，但如果你在生物或物件内结束自己回合，你会受到1d10的力场伤害。
• 当你使用战栗形态时，在你的每个回合中只有一次，当你对一个生物造成黯蚀伤害时，你会恢复相当于黯蚀伤害量一半的生命值。
一旦你使用了这个特性，直到你完成了一次长休为止你无法再次使用它。</t>
  </si>
  <si>
    <t>Feats</t>
  </si>
  <si>
    <t>警觉</t>
  </si>
  <si>
    <t>经常对危机保持警惕，让你获得下列增益：
• 你的先攻获得+5加值。
• 你在意识清醒时无法被突袭。
• 你看不到的生物对你发动攻击检定时，无法因此获得优势。</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</si>
  <si>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</si>
  <si>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</si>
  <si>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</si>
  <si>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</si>
  <si>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</si>
  <si>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</si>
  <si>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</si>
  <si>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</si>
  <si>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防御式决斗</t>
  </si>
  <si>
    <t>当你持用一把已具有熟练项的灵巧武器时，若另一生物对你发动的近战攻击命中你，则你可执行反应并将你的熟练加值添加到本次攻击的AC中，此举还有可能导致本次攻击变为未命中。
先决条件：敏捷13或更高</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</si>
  <si>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</si>
  <si>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</si>
  <si>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</si>
  <si>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 -5罚值。</t>
  </si>
  <si>
    <t>耐性</t>
  </si>
  <si>
    <t>由于坚强而持久，你获得下列增益：
• 你的体质加1，上限为20。
• 当你掷生命骰恢复生命值时，每粒生命骰可恢复的最小生命值等于你体质调整值的两倍（最小为２）。</t>
  </si>
  <si>
    <t>元素导师</t>
  </si>
  <si>
    <t>获得该专长时，你选择下列一种伤害类型：强酸、冷冻、火焰、闪电、雷鸣。
• 你所施展的法术将忽视你所选择伤害类型的抗性。
• 此外，当你施展法术造成所选类型伤害时，将每粒伤害骰所有1的骰值视为2。
• 你可以重复多次选择该专长，但每次都必须选择一种不同的伤害类型。
先决条件：至少可以施展一个法术</t>
  </si>
  <si>
    <t>擒抱者</t>
  </si>
  <si>
    <t>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
先决条件：力量13或更高</t>
  </si>
  <si>
    <t>巨武器大师</t>
  </si>
  <si>
    <t>你习得将武器重量作为优势的技巧，使你的攻击力大增。你获得下列增益：
• 你在自己回合内用近战武器造成重击，或将一个生物生命值降至0时，可以用附赠动作发动一次近战武器攻击。
• 你在使用具有熟练项的重型武器发动近战攻击前，可以选择让本次攻击检定承受-5罚值。若本次攻击命中，则其伤害掷骰获得+10加值。</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</si>
  <si>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</si>
  <si>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你可以用一个动作消耗医疗包的一次使用次数，并以此护理一个生物使其恢复1d6+4再加上角色生命骰粒数的生命值。该生物在进行短休或长休前无法再次从该专长获取生命值。</t>
  </si>
  <si>
    <t>重甲运用</t>
  </si>
  <si>
    <t>你学习了重甲的使用方法，你获得下列增益：
• 你的力量加1，上限为20。
• 你获得重甲的熟练项。
先决条件：中甲熟练项</t>
  </si>
  <si>
    <t>重甲大师</t>
  </si>
  <si>
    <t>你可以用护甲偏斜大多数致命的攻击。你获得下列增益：
• 你的力量加1，上限为20。
• 你着装重甲时，非魔法武器对你造成的钝击、穿刺、挥砍伤害每次减少３点。
先决条件：重甲熟练项</t>
  </si>
  <si>
    <t>领袖之证</t>
  </si>
  <si>
    <t>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你的魅力调整值。此后直至其完成一次短休或长休前，目标生物都无法再从该专长获益。
先决条件：魅力13或更高</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</si>
  <si>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</si>
  <si>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</si>
  <si>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轻甲运用</t>
  </si>
  <si>
    <t>你学习了轻甲的使用方法，获得下列增益：
• 你的力量或敏捷加1，上限为20。
• 你获得轻甲的熟练项。</t>
  </si>
  <si>
    <t>语言学家</t>
  </si>
  <si>
    <t>你学习了不少语言和密码，获得下列增益：
• 你的智力加1，上限为20。
• 你习得三门自选语言。
• 你可以自创密码。而未经你传授解密方法的人只有两种方法可以破译你的密码：其一是进行智力检定（DC等于你的智力值＋你的熟练加值），或是以魔法破译。</t>
  </si>
  <si>
    <t>幸运</t>
  </si>
  <si>
    <t>你的离奇运气让你可以在最危险的时刻化险为夷。
•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 你也可以在被攻击时选择花费1点幸运点骰一次d20。然后由你决定攻击者该使用哪粒d20。
• 若不止一个生物决定花费幸运点影响同一个骰值，则幸运点互相抵消，即并不会有额外的d20掷骰行为。
• 完成一次长休后你可以恢复所有的幸运点。</t>
  </si>
  <si>
    <t>法师杀手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</si>
  <si>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</si>
  <si>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魔法学徒</t>
  </si>
  <si>
    <t>• 指定一个职业：吟游诗人、牧师、德鲁伊、术士、邪术师、法师。你从指定职业法术列表里习得两个戏法。
• 此外，你从相同列表里选择习得一个1环法术。以该方式习得的法术只可以用其最低环法术位来施展，而以该方式施展后的该1环法术必须完成一次长休后，才能再次以该方式施展。
• 这些法术的施法关键属性取决于你指定的职业：吟游诗人、术士、邪术师用魅力；牧师、德鲁伊用感知；法师用智力。</t>
  </si>
  <si>
    <t>战技专家</t>
  </si>
  <si>
    <t>接受战技训练后，你可以使用一些独特的战技。你获得下列增益：
• 你选择习得战士战斗大师范型战技列表中的两个战技。如果所习得的战技需要目标进行豁免检定来抵抗战技效果，则其豁免DC等于８＋你的熟练加值＋你的力量或敏捷调整值（自选）。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</si>
  <si>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中甲大师</t>
  </si>
  <si>
    <t>你修习过如何在着装中甲时移动，并获得下列增益：
• 着装中甲不再使你进行敏捷（隐匿）检定时具有劣势。
• 着装中甲时，若你的敏捷在16或以上，你的AC可以增加3点而非2点。
先决条件：中甲熟练项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</si>
  <si>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</si>
  <si>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</si>
  <si>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中甲运用</t>
  </si>
  <si>
    <t>你习得如何使用中甲和盾牌，并获得下列增益：
• 你的力量或敏捷加1，上限为20。
• 你获得中甲和盾牌的熟练项。
先决条件：轻甲熟练项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</si>
  <si>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</si>
  <si>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</si>
  <si>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</si>
  <si>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你的被动感知（察觉）值和被动智力（调查）值带+5加值。</t>
  </si>
  <si>
    <t>长柄武器大师</t>
  </si>
  <si>
    <t>你可以用触及武器与敌人近身缠斗。你获得下列增益：
• 当你只使用长柄刀、戟、长棍或矛执行攻击动作时，可以用附赠动作以武器手柄的末端发动一次近战攻击。这次攻击与主攻击使用同样的调整值，其伤害骰为d4，伤害类型为钝击伤害。
• 当你持握长柄刀、戟、长矛、长棍或矛时，进入你触及范围的生物会引发你的借机攻击。</t>
  </si>
  <si>
    <t>强健身心</t>
  </si>
  <si>
    <t>选择1种属性，并获得下列增益：
• 所选属性加1，上限为20。
• 你进行所选属性的豁免检定时可以加上你的熟练加值。</t>
  </si>
  <si>
    <t>仪式施法者</t>
  </si>
  <si>
    <t>先决条件：智力或感知为13或更高
• 你习得一些可以用于仪式施法的法术。这些法术会记载在一本仪式书上，你进行仪式施法时必须手持这本仪式书。
•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 当你获得了一份书写形式的法术时（比如法术卷轴spell scroll或法师的法术书），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</si>
  <si>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凶蛮打手</t>
  </si>
  <si>
    <t>你每回合有一次机会，在掷近战武器攻击的伤害骰时，重掷武器的伤害骰并选用新旧骰值二者之一。</t>
  </si>
  <si>
    <t>哨兵</t>
  </si>
  <si>
    <t>你的掌握的技术让你在击破敌人防御时占尽优势，并获得下列增益：
• 你的借机攻击命中目标时，目标在本回合剩下时间内的移动速度降至0。
• 生物即使执行撤离动作离开你的触及范围也会引发你的借机攻击。
• 处于你周边５尺范围内的生物对除你外的目标发动攻击后（且被攻击者没有这个专长），你可以用你的反应对该攻击者发动一次近战攻击。</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</si>
  <si>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</si>
  <si>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</si>
  <si>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选择任意组合的三项技能或工具加入你的熟练项。</t>
  </si>
  <si>
    <t>隐伏者</t>
  </si>
  <si>
    <t>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
先决条件：敏捷13或更高</t>
  </si>
  <si>
    <t>法术射手</t>
  </si>
  <si>
    <t>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你施展该戏法的施法关键属性取决于你选择的职业：吟游诗人、术士、邪术师用魅力；牧师、德鲁伊用感知；法师用智力。
先决条件：至少可以施展一个法术</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</si>
  <si>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</si>
  <si>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</si>
  <si>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健壮</t>
  </si>
  <si>
    <t>获得该专长时，你的生命值上限增加你当前等级两倍的数值。并且在你随后每次升级时，生命值上限都会额外加2。</t>
  </si>
  <si>
    <t>战地施法者</t>
  </si>
  <si>
    <t>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当敌方生物的移动引发你的借机攻击时，你可以用你的反应对该生物施展一个法术而非发动借机攻击。该法术的施法时间必须是1动作，且该生物必须为法术的唯一目标。
先决条件：至少可以施展一个法术</t>
  </si>
  <si>
    <t>武器大师</t>
  </si>
  <si>
    <t>经过大量练习后，你熟练的掌握了各种武器的使用方法，并获得下列增益：
• 你的力量或敏捷加1，上限为20。
• 你从简易武器和军用武器列表中，共选择四种武器并获得其熟练项。</t>
  </si>
  <si>
    <t>慷慨吉运</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</si>
  <si>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</si>
  <si>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龙之威怖</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</si>
  <si>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</si>
  <si>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龙之鳞爪</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</si>
  <si>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</si>
  <si>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高等卓尔魔法</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</si>
  <si>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</si>
  <si>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矮人坚毅</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</si>
  <si>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</si>
  <si>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精灵之准</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</si>
  <si>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</si>
  <si>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匿影无踪</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</si>
  <si>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</si>
  <si>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妖精传送</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</si>
  <si>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</si>
  <si>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弗莱格索斯之焰</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</si>
  <si>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</si>
  <si>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炼狱体质</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</si>
  <si>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</si>
  <si>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兽人狂怒</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</si>
  <si>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</si>
  <si>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天赋异禀</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</si>
  <si>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</si>
  <si>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花开二度</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</si>
  <si>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</si>
  <si>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低身机敏</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</si>
  <si>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</si>
  <si>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木精灵魔法</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</si>
  <si>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</si>
  <si>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奇械学徒</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</si>
  <si>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</si>
  <si>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大厨</t>
  </si>
  <si>
    <t>花费在专研厨艺上的工夫已然有了回报，使你获得了以下增益：
• 你的体质或感知增加1，上限为20。
• 你获得厨师工具的熟练项，如果你还没有的话。
•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 在花费一小时精心制作后，或者在完成一次长休时，你可以制作等同于你熟练加值个数的餐点。这些餐点在制作完成后持续八小时。任何食用餐点的生物都能获得等同于你熟练加值的临时生命值。</t>
  </si>
  <si>
    <t>粉碎者</t>
  </si>
  <si>
    <t>你擅长于碾碎敌人的技艺，你获得了以下增益：
• 你的力量或体质增加1，上限为20。
• 每回合一次，当你用造成钝击伤害的攻击命中一个生物时，只要目标的体型并未比你大一级以上，你就可以将目标移动五尺至一个未被占据的空间。
• 当你用造成钝击伤害的攻击命中一个生物并造成重击时，直至你的下一回合开始，所有针对该生物的攻击检定具有优势。</t>
  </si>
  <si>
    <t>魔能导师</t>
  </si>
  <si>
    <t>对神秘学的研究使你从邪术师职业中习得了一项你自选的魔能祈唤。本专长获取的魔能祈唤中使用的施法属性为你的智力、感知、或魅力（在你选择这个专长时选择它）。如果该祈唤具有任何先决条件，则仅当你是一位满足该条件的邪术师时才能选择该祈唤。
当你升级时，你可以将该祈唤更换为邪术师职业中的另一个魔能祈唤（关键属性不变）。
先决条件：施法或契约魔法特性</t>
  </si>
  <si>
    <t>精类触碰</t>
  </si>
  <si>
    <t>暴露在妖精荒野的魔法之下的经历已经改变了你，使你获得了以下增益：
• 你的智力，感知或魅力提升1，上限为20。
• 你习得迷踪步以及一个由你选择的一环法术。该一环法术必须是预言系或者惑控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</si>
  <si>
    <t>战斗学徒</t>
  </si>
  <si>
    <t>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
先决条件：军用武器熟练</t>
  </si>
  <si>
    <t>枪手</t>
  </si>
  <si>
    <t>你持枪时的手快眼明使你获得了以下增益：
• 你的敏捷提升1，上限为20。
• 你获得枪械的熟练项（见城主指南的“枪械”栏目）。
• 你忽略枪械的装填属性。
• 你在敌对生物５尺范围内发动远程攻击检定时，不会因此而具有劣势。</t>
  </si>
  <si>
    <t>超魔法导师</t>
  </si>
  <si>
    <t>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
先决条件：施法或契约魔法特性</t>
  </si>
  <si>
    <t>穿刺者</t>
  </si>
  <si>
    <t>你已经可以在战斗中造成精准的穿刺。你获得以下好处：
• 你的力量或敏捷提升1，上限为20。
• 每回合一次，当你用造成穿刺伤害的攻击命中一个生物时，你可以重投其中一个伤害骰。你必须使用重投的结果。
• 当你用造成穿刺伤害的攻击命中一个生物并且造成重击时，你可以在计算穿刺伤害时投一个额外的伤害骰。</t>
  </si>
  <si>
    <t>毒师</t>
  </si>
  <si>
    <t>你可以准备并使用致命的毒药。你获得以下好处：
• 当你投造成毒素伤害的伤害骰时，无视目标的伤害抗性。
• 你可以以一个附赠动作为一把武器或一枚弹药涂毒，而不是一个动作。
•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</si>
  <si>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影界触碰</t>
  </si>
  <si>
    <t>暴露在堕影冥界的魔法之下的经历已经改变了你，使你获得了以下增益：
• 你的智力，感知或魅力提升1，上限为20。
•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</si>
  <si>
    <t>技艺专家</t>
  </si>
  <si>
    <t>你已磨练了自身的特定技艺，并获得了以下好处：
• 你选择一项属性提升1，上限为20.
• 你选择并获得一项技能的熟练项。
• 选择一项你熟练的技能，你获得该技能的专精，可以将两倍的熟练加值加到使用该技能进行的属性检定上。你选择的技能必须未受益于其他使熟练加值翻倍的特性，例如专精特性。</t>
  </si>
  <si>
    <t>劈砍者</t>
  </si>
  <si>
    <t>你已熟知该砍向何处以造成最重的伤害。你获得以下好处：
• 你的力量或敏捷提升1，上限为20。
• 每回合一次，当你用造成挥砍伤害的攻击命中一个生物时，你可以使其速度降低10尺，直到你的下回合开始。
• 当你用造成挥砍伤害的攻击命中一个生物并造成重击时，你将其重伤，使其所作的攻击检定具有劣势，直至你的下回合开始。</t>
  </si>
  <si>
    <t>念动力</t>
  </si>
  <si>
    <t>你习得用你的意念移动物体的能力。你获得以下好处：
• 你的智力，感知或魅力提升1，上限为20。
• 你习得法师之手戏法，你施展它无需语言成分或材料成分，并且你可以让该幽灵手隐形。如果你已经习得该戏法，你施展该戏法时其施法距离提升30尺。该戏法的施法属性是你由此专长提升的属性。
•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</si>
  <si>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心电感应</t>
  </si>
  <si>
    <t>你觉醒了用意念与其他生物交流的能力。你获得以下好处：
• 你的智力，感知或魅力提升1，上限为20。
• 你可以和60尺内任何你可见的生物用心灵感应进行交流。你的心电沟通以一种你已知的语言的形式进行，该生物必须懂得该语言才能理解你。你的主动沟通并未给予该生物以心灵感应的形式回复你的能力。
• 你可以施展侦测思想法术，无需法术位和法术成分。以此法施法后，你在完成一次长休前不能再这样做。该法术的施法属性是你由此专长提升的属性。如果你拥有二环或更高的法术位，你可以消耗这些法术位施展该法术。</t>
  </si>
  <si>
    <t>异种龙纹</t>
  </si>
  <si>
    <t>你显现出异种龙纹。请设定它的外观和它造成的缺陷。你获得以下增益：
• 体质属性增加1，上限20。 
•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
异种龙纹缺陷 d8 缺陷 
1 你的龙纹给你带来生理上的持续疼痛。 
2 你的龙纹会对你细语，但你可能不知道它想对你说什么。 
3 当你紧张时，你的龙纹发出嘶嘶声。 
4 你龙纹周围的皮肤变得烧焦、鳞片化或萎缩。 
5 你周围的动物感到不安。 
6 你使用龙纹时情绪会剧烈波动。 
7 每当你使用龙纹，你的外观就会发生细微的变化。 
8 你使用龙纹后会做可怕的噩梦。 
先决条件：没有龙纹
额外选项：更强的异种力量 Option: Greater Aberrant Powers
在DM的选择下，拥有异种龙纹专长的角色有机会展现更大的力量。当你达到10级时，这个角色有10%的几率从《城主指南》第7章的选项中获得传奇恩惠。如果角色没有得到传奇恩惠，他在下次升级时仍有10%的机会获得。
如果角色得到了一个传奇恩惠，由DM来决定具体效果或随机决定效果。该角色同时永久性地失去一个生命骰，其最大生命值相应地减少一个生命骰加上其体质调整值（最少减少1）。这一减少无法以任何方法解除。</t>
  </si>
  <si>
    <t>英魂之刃</t>
  </si>
  <si>
    <t>你是一个双刃弯刀大师的后代，而这种能力的一部分已经传给了你。你获得下列增益：
• 你的力量或敏捷增加1，上限为20。
• 当你双手持握双刃弯刀时，你的AC得到+1加值。
• 在使用双刃弯刀时视同具有灵巧属性。
先决条件: 精灵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</si>
  <si>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斯翠海文学徒</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</si>
  <si>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 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冻寒之触chill touch   德鲁伊伎俩druidcraft  维生术spare the dying   从德鲁伊或法师法术中选择。 </t>
  </si>
  <si>
    <t>斯翠海文苑像</t>
  </si>
  <si>
    <t>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mascot（靡华）。这些生物的数据卡在第7章。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</si>
  <si>
    <t>色彩龙赋礼</t>
  </si>
  <si>
    <t>你掌握了一些色彩龙的力量，你获得以下好处：
•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t>
  </si>
  <si>
    <t>宝石龙赋礼</t>
  </si>
  <si>
    <t>你掌握了一些宝石龙的力量，你获得以下好处：
• 属性值提升Ability Score Increase。你的智力、感知、或魅力提升1，上限20。
•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</si>
  <si>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金属龙赋礼</t>
  </si>
  <si>
    <t>你掌握了一些金属龙的力量，你获得以下好处：
•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</si>
  <si>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符文塑形者</t>
  </si>
  <si>
    <t>你已习得了巨人符文之魔法，这为你带来了如下增益：
• 通晓语言Comprehend Languages。 你习得法术 通晓语言comprehend languages 。你可以无需法术位的施展这个法术一次，之后你必须完成一次长休才能再次以此施展它。你同样可以用任何你拥有的法术位去施展这个法术。
•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艾嘉西斯之铠Armor of Agathys 
山丘Hill 神莓术Goodberry 
旅途Journey 大步奔行Longstrider 
君王King 命令术Command 
山脉Mountain 纠缠术Entangle 
岩石Stone 庇护术Sanctuary  
风暴Storm 雷鸣波Thunderwave  
先决条件: 施法特性或 符文雕刻者Rune Carver 背景</t>
  </si>
  <si>
    <t>巨人打击</t>
  </si>
  <si>
    <t xml:space="preserve">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 云雾打击Cloud Strike。 目标受到额外1d4点雷鸣伤害。若目标是生物，则其必须通过一次感知豁免，否则直至你下一回合开始，你对其而言视为 隐形Invisible 状态。你发动攻击或是施展法术后，这一效应也会立刻结束。
• 火焰打击Fire Strike。目标受到额外1d10点火焰伤害。
• 寒霜打击Frost Strike。 目标受到额外1d6点冷冻伤害。若目标是生物，则其必须通过一次体质豁免，否则直至你下一回合开始其速度归零。
• 山丘打击Hill Strike。 目标受到额外1d6点与武器同类型的伤害。若目标是生物，则其必须通过一次力量豁免，否则将陷入 倒地Prone。
• 岩石打击Stone Strike。 目标受到额外1d6点力场伤害。若目标是生物，则其必须通过一次力量豁免，否则被你沿直线击退10尺。
•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
先决条件: 军用武器熟练或 巨人养子Giant Founding 背景 </t>
  </si>
  <si>
    <t>火巨人之余烬</t>
  </si>
  <si>
    <t xml:space="preserve">你展现出象征着火巨人的炽烈战斗方式，使得你获得下列增益：
• 属性值提升Ability Score Increase。 你的力量、体质、或感知属性提升1，上限为20。
• 生于烈焰Born of Flame。 你获得火焰伤害的抗性。
•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
先决条件: 第4级，巨人打击（火焰打击）专长 </t>
  </si>
  <si>
    <t>霜巨人之狂怒</t>
  </si>
  <si>
    <t xml:space="preserve">你展现出象征着霜巨人的冰冷力量，使得你获得下列增益：
• 属性值提升Ability Score Increase。 你的力量、体质、或感知属性提升1，上限为20。
• 生于冰霜Born of Ice。 你获得冷冻伤害的抗性。
•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点冷冻伤害，并速度减半，直至其下一个回合结束。你可以使用这一反应的次数等同于你的熟练加值次，在完成一次长休后你恢复所有已消耗的使用次数。
先决条件: 第4级，巨人打击（寒霜打击）专长 </t>
  </si>
  <si>
    <t>云巨人之诡诈</t>
  </si>
  <si>
    <t xml:space="preserve">你展现出象征着云巨人的轻浮言语以及魔法，使得你获得下列增益：
• 属性值提升Ability Score Increase。 你的敏捷、体质、或魅力属性提升1，上限为20。
•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
先决条件: 第4级，巨人打击（云雾打击）专长 </t>
  </si>
  <si>
    <t>石巨人之敏锐</t>
  </si>
  <si>
    <t xml:space="preserve">你展现出象征着石巨人的肉体天赋，使得你获得下列增益：
• 属性值提升Ability Score Increase。 你的力量、体质、或感知属性提升1，上限为20。
• 洞穴视觉Cavernous Sight。 你获得60尺黑暗视觉。若你已经从其他来源处获得了黑暗视觉，其距离增加60尺。
•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
先决条件: 第4级，巨人打击（岩石打击）专长 </t>
  </si>
  <si>
    <t>风暴巨人之灵魂</t>
  </si>
  <si>
    <t xml:space="preserve">你展现出象征着风暴巨人的预言能力和风暴魔法，使得你获得下列增益：
• 属性值提升Ability Score Increase。 你的智力、感知、或魅力属性提升1，上限为20。
•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
先决条件: 第4级，巨人打击（风暴打击）专长 </t>
  </si>
  <si>
    <t>山丘巨人之健强</t>
  </si>
  <si>
    <t xml:space="preserve">你展现出象征着山丘巨人的强韧性，使得你获得下列增益：
• 属性值提升Ability Score Increase。 你的力量、体质、或感知属性提升1，上限为20。
• 不动如山Bulwark。当你受到一次让你移动至少5尺、或给予你 倒地Prone 状态的效应时，你可以用你的反应来稳定自身，此时，你既不会被因此移动，也不会因此陷入 倒地Prone 。
• 钢铁肠胃Iron Stomach。 当你在短休时进食，并且使用了一粒或更多生命骰恢复生命时，你额外恢复等同于你的 体质调整值+你的熟练加值 点的生命值。
先决条件: 第4级，巨人打击（山丘打击）专长 </t>
  </si>
  <si>
    <t>卡牌占卜师</t>
  </si>
  <si>
    <t>你学会了通过一副牌组来引导你的魔法，你可以用一副牌组作为你的法器，并获得下列增益：
• 卡牌诈术Card Tricks。你习得戏法 魔法伎俩Prestidigitation，并可以用其创造幻象来复制舞台魔术的效果。当你以此法使用魔法伎俩时，你可以隐藏此法术的言语和姿势成分 
•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先决条件：第4级，施法特性
（注：隐藏王牌效果没有明确说明是否需要法术位以及何时需要法术位，导致出现严重的歧义并在外网备受争论。使用前请询问你的DM该专长与法术位如何互动，并静候本书的Errata（若有）。）</t>
  </si>
  <si>
    <t>斯涅布力魔法</t>
  </si>
  <si>
    <t>、你继承了你祖先的天生施法能力。这项能力允许你随意对自己施放 回避侦测nondetection，而不需要物质成分。你也可以每日一次施展下列每项法术：目盲/耳聋术 Blindness/Deafness、朦胧术Blur和易容术disguise self。当你完成一次长休息后，你会重新获得施展这些法术的能力。你的施法属性为智力。
先决条件：侏儒（地底侏儒）</t>
  </si>
  <si>
    <t>护甲表</t>
  </si>
  <si>
    <t>伤害</t>
  </si>
  <si>
    <t>价格</t>
  </si>
  <si>
    <t>使用属性</t>
  </si>
  <si>
    <t>装备名称</t>
  </si>
  <si>
    <t>装备特性</t>
  </si>
  <si>
    <t>命中检定</t>
  </si>
  <si>
    <t>伤害加值</t>
  </si>
  <si>
    <t>=LEFT(I3,LENB(I3)-LEN(I3))</t>
  </si>
  <si>
    <t>护甲等级（AC）</t>
  </si>
  <si>
    <t>重量LB</t>
  </si>
  <si>
    <t>全头</t>
  </si>
  <si>
    <t>轻型</t>
  </si>
  <si>
    <t xml:space="preserve"> </t>
  </si>
  <si>
    <t>布甲</t>
  </si>
  <si>
    <t>11＋敏捷调整值</t>
  </si>
  <si>
    <t>－</t>
  </si>
  <si>
    <t>头部</t>
  </si>
  <si>
    <t>徒手打击</t>
  </si>
  <si>
    <t>钝击</t>
  </si>
  <si>
    <t>头发</t>
  </si>
  <si>
    <t>重型</t>
  </si>
  <si>
    <t>简单近战武器</t>
  </si>
  <si>
    <t>短棒</t>
  </si>
  <si>
    <t>1d4</t>
  </si>
  <si>
    <t>2lb</t>
  </si>
  <si>
    <t>1sp</t>
  </si>
  <si>
    <t>镶钉皮甲</t>
  </si>
  <si>
    <t>45gp</t>
  </si>
  <si>
    <t>12＋敏捷调整值</t>
  </si>
  <si>
    <t>面部</t>
  </si>
  <si>
    <t>匕首</t>
  </si>
  <si>
    <t>灵巧，轻型，投掷（射程20/60）</t>
  </si>
  <si>
    <t>穿刺</t>
  </si>
  <si>
    <t>1lb</t>
  </si>
  <si>
    <t>中甲</t>
  </si>
  <si>
    <t>兽皮甲</t>
  </si>
  <si>
    <t>12＋敏捷调整值(最大2)</t>
  </si>
  <si>
    <t>颈部</t>
  </si>
  <si>
    <t>巨棒</t>
  </si>
  <si>
    <t>双手</t>
  </si>
  <si>
    <t>10lb</t>
  </si>
  <si>
    <t>2sp</t>
  </si>
  <si>
    <t>链甲衫</t>
  </si>
  <si>
    <t>13＋敏捷调整值(最大2)</t>
  </si>
  <si>
    <t>身体</t>
  </si>
  <si>
    <t>挥砍</t>
  </si>
  <si>
    <t>鳞甲</t>
  </si>
  <si>
    <t>14＋敏捷调整值(最大2)</t>
  </si>
  <si>
    <t>肩膀</t>
  </si>
  <si>
    <t>标枪</t>
  </si>
  <si>
    <t>投掷（射程30/120）</t>
  </si>
  <si>
    <t>5sp</t>
  </si>
  <si>
    <t>胸甲</t>
  </si>
  <si>
    <t>400gp</t>
  </si>
  <si>
    <t>胸前</t>
  </si>
  <si>
    <t>冷冻</t>
  </si>
  <si>
    <t>轻锤</t>
  </si>
  <si>
    <t>半身板甲</t>
  </si>
  <si>
    <t>750gp</t>
  </si>
  <si>
    <t>15＋敏捷调整值(最大2)</t>
  </si>
  <si>
    <t>背后</t>
  </si>
  <si>
    <t>火焰</t>
  </si>
  <si>
    <t>硬头锤</t>
  </si>
  <si>
    <t>4lb</t>
  </si>
  <si>
    <t>重甲</t>
  </si>
  <si>
    <t>环甲</t>
  </si>
  <si>
    <t>腰部</t>
  </si>
  <si>
    <t>闪电</t>
  </si>
  <si>
    <t>长棍</t>
  </si>
  <si>
    <t>两用（1d8）</t>
  </si>
  <si>
    <t>武器命中</t>
  </si>
  <si>
    <t>武器伤害</t>
  </si>
  <si>
    <t>链甲</t>
  </si>
  <si>
    <t>75gp</t>
  </si>
  <si>
    <t>力量13</t>
  </si>
  <si>
    <t>胯间</t>
  </si>
  <si>
    <t>力场</t>
  </si>
  <si>
    <t>镰刀</t>
  </si>
  <si>
    <t>板条甲</t>
  </si>
  <si>
    <t>200gp</t>
  </si>
  <si>
    <t>力量15</t>
  </si>
  <si>
    <t>左脚</t>
  </si>
  <si>
    <t>光耀</t>
  </si>
  <si>
    <t>矛</t>
  </si>
  <si>
    <t>投掷（射程20/60），两用（1d8）</t>
  </si>
  <si>
    <t>3lb</t>
  </si>
  <si>
    <t>板甲</t>
  </si>
  <si>
    <t>1500gp</t>
  </si>
  <si>
    <t>右脚</t>
  </si>
  <si>
    <t>黯蚀</t>
  </si>
  <si>
    <t>√</t>
  </si>
  <si>
    <t>简单远程武器</t>
  </si>
  <si>
    <t>轻弩</t>
  </si>
  <si>
    <t>弹药（射程80/320），装填，双手</t>
  </si>
  <si>
    <t>5lb</t>
  </si>
  <si>
    <t>双脚</t>
  </si>
  <si>
    <t>毒素</t>
  </si>
  <si>
    <t>飞镖</t>
  </si>
  <si>
    <t>灵巧，投掷（射程20/60）</t>
  </si>
  <si>
    <t>1/4lb</t>
  </si>
  <si>
    <t>5cp</t>
  </si>
  <si>
    <t>左腿</t>
  </si>
  <si>
    <t>心灵</t>
  </si>
  <si>
    <t>短弓</t>
  </si>
  <si>
    <t>弹药（射程80/320），双手</t>
  </si>
  <si>
    <t>弹药重量</t>
  </si>
  <si>
    <t>集束重量</t>
  </si>
  <si>
    <t>集束数量</t>
  </si>
  <si>
    <t>总重量→</t>
  </si>
  <si>
    <t>右腿</t>
  </si>
  <si>
    <t>雷呜</t>
  </si>
  <si>
    <t>投石索</t>
  </si>
  <si>
    <t>弹药（射程30/120）</t>
  </si>
  <si>
    <t>箭arrows(20)</t>
  </si>
  <si>
    <t>双腿</t>
  </si>
  <si>
    <t>强酸</t>
  </si>
  <si>
    <t>军用近战武器</t>
  </si>
  <si>
    <t>战斧</t>
  </si>
  <si>
    <t>弩矢crossbowbolts(20)</t>
  </si>
  <si>
    <t>左手</t>
  </si>
  <si>
    <t>链枷</t>
  </si>
  <si>
    <t>右手</t>
  </si>
  <si>
    <t>长柄刀</t>
  </si>
  <si>
    <t>重型，触及，双手</t>
  </si>
  <si>
    <t>6lb</t>
  </si>
  <si>
    <t>护甲名称</t>
  </si>
  <si>
    <t>护甲类型</t>
  </si>
  <si>
    <t>投石索弹丸slingbullets(20)</t>
  </si>
  <si>
    <t>巨斧</t>
  </si>
  <si>
    <t>重型，双手</t>
  </si>
  <si>
    <t>7lb</t>
  </si>
  <si>
    <t>吹矢blowgunneedles(50)</t>
  </si>
  <si>
    <t>左臂</t>
  </si>
  <si>
    <t>巨剑</t>
  </si>
  <si>
    <t>2d6</t>
  </si>
  <si>
    <t>法师护甲</t>
  </si>
  <si>
    <t>右臂</t>
  </si>
  <si>
    <t>戟</t>
  </si>
  <si>
    <t>10+感知调整值+敏捷调整值</t>
  </si>
  <si>
    <t>双臂</t>
  </si>
  <si>
    <t>骑枪</t>
  </si>
  <si>
    <t>触及，特殊
特殊：使用一把骑枪攻击5尺范围内目标时具有劣势。另外，当你不在骑乘状态时一根骑枪需要两只手使用。</t>
  </si>
  <si>
    <t>蛮子</t>
  </si>
  <si>
    <t>10+体质调整值+敏捷调整值</t>
  </si>
  <si>
    <t>全身</t>
  </si>
  <si>
    <t>舞蹈诗</t>
  </si>
  <si>
    <t>10+魅力调整值+敏捷调整值</t>
  </si>
  <si>
    <t>巨锤</t>
  </si>
  <si>
    <t xml:space="preserve">—— </t>
  </si>
  <si>
    <t>无甲</t>
  </si>
  <si>
    <t>钉头锤</t>
  </si>
  <si>
    <t>隐匿劣势</t>
  </si>
  <si>
    <t>长矛</t>
  </si>
  <si>
    <t>18lb</t>
  </si>
  <si>
    <t>刺剑</t>
  </si>
  <si>
    <t>灵巧</t>
  </si>
  <si>
    <t>弯刀</t>
  </si>
  <si>
    <t>灵巧，轻型</t>
  </si>
  <si>
    <t>短剑</t>
  </si>
  <si>
    <t>三叉戟</t>
  </si>
  <si>
    <t>战镐</t>
  </si>
  <si>
    <t>武僧无甲</t>
  </si>
  <si>
    <t>战锤</t>
  </si>
  <si>
    <t>蛮子无甲</t>
  </si>
  <si>
    <t>鞭</t>
  </si>
  <si>
    <t>灵巧，触及</t>
  </si>
  <si>
    <t>军用远程武器</t>
  </si>
  <si>
    <t>吹箭筒</t>
  </si>
  <si>
    <t>弹药（射程25/100）装填</t>
  </si>
  <si>
    <t xml:space="preserve">——  </t>
  </si>
  <si>
    <t>手弩</t>
  </si>
  <si>
    <t>弹药（射程30/120），轻型，装填</t>
  </si>
  <si>
    <t>重弩</t>
  </si>
  <si>
    <t>弹药（射程100/400），重型，装填，双手</t>
  </si>
  <si>
    <t>隐匿劣势，力量需求13</t>
  </si>
  <si>
    <t>隐匿劣势，力量需求15</t>
  </si>
  <si>
    <t>捕网</t>
  </si>
  <si>
    <t>特殊，投掷（射程5/15）
特殊：一只被捕网命中的大型或更小体型生物将被束缚，束缚状态持续至该生物解脱。捕网不能影响无形体生物，以及巨型或更大体型的生物。一个生物可以用动作进行一次DC10的力量检定，以解脱自己或其触及范围内另一生物的束缚状态。对网造成5点挥砍伤害（AC10）同样可以解脱生物的束缚状态而不伤害及生物本身，并以此摧毁捕网进而终止束缚效应。当用捕网以一个动作、附赠动作或反应进行攻击时，你只能攻击一次，而不论你正常情况下可发动攻击的次数。</t>
  </si>
  <si>
    <t>复兴时期枪械</t>
  </si>
  <si>
    <t>手枪</t>
  </si>
  <si>
    <t>弹药（射程30/90），装填</t>
  </si>
  <si>
    <t>250g</t>
  </si>
  <si>
    <t>滑膛枪</t>
  </si>
  <si>
    <t>弹药（射程40/120），装填，双手</t>
  </si>
  <si>
    <t>500gp</t>
  </si>
  <si>
    <t>现代枪械</t>
  </si>
  <si>
    <t>自动手枪</t>
  </si>
  <si>
    <t>弹药（射程50/150），弹容（15发）</t>
  </si>
  <si>
    <t>左轮手枪</t>
  </si>
  <si>
    <t>弹药（射程40/120），弹容（6发）</t>
  </si>
  <si>
    <t>2d8</t>
  </si>
  <si>
    <t>猎枪</t>
  </si>
  <si>
    <t>弹药（射程80/240），弹容（5发），双手</t>
  </si>
  <si>
    <t>2d10</t>
  </si>
  <si>
    <t>8lb</t>
  </si>
  <si>
    <t>自动步枪</t>
  </si>
  <si>
    <t>弹药（射程80/240），扫射，弹容（30发），双手</t>
  </si>
  <si>
    <t>散弹枪</t>
  </si>
  <si>
    <t>弹药（射程30/90），弹容（2发），双手</t>
  </si>
  <si>
    <t>未来枪械</t>
  </si>
  <si>
    <t>激光手枪</t>
  </si>
  <si>
    <t>弹药（射程40/120），弹容（50发）</t>
  </si>
  <si>
    <t>3d6</t>
  </si>
  <si>
    <t>反物质步枪</t>
  </si>
  <si>
    <t>弹药（射程120/360），弹容（2发），双手</t>
  </si>
  <si>
    <t>6d8</t>
  </si>
  <si>
    <t>激光步枪</t>
  </si>
  <si>
    <t>弹药（射程100/300），弹容（30发），双手</t>
  </si>
  <si>
    <t>3d8</t>
  </si>
  <si>
    <t>行</t>
  </si>
  <si>
    <t>最小列</t>
  </si>
  <si>
    <t>最大列</t>
  </si>
  <si>
    <t>通用特性</t>
  </si>
  <si>
    <t>属性值加成</t>
  </si>
  <si>
    <t>生物种类</t>
  </si>
  <si>
    <t>VGM</t>
  </si>
  <si>
    <t>MTF</t>
  </si>
  <si>
    <t>GTR</t>
  </si>
  <si>
    <t>ERLW</t>
  </si>
  <si>
    <t>AcqInc.</t>
  </si>
  <si>
    <t>MOT</t>
  </si>
  <si>
    <t>VRGR</t>
  </si>
  <si>
    <t>SCC</t>
  </si>
  <si>
    <t>MotM</t>
  </si>
  <si>
    <t>SAS</t>
  </si>
  <si>
    <t>种族备选</t>
  </si>
  <si>
    <t>亚种选项</t>
  </si>
  <si>
    <t>待选特性</t>
  </si>
  <si>
    <t>已选特性</t>
  </si>
  <si>
    <t>矮人</t>
  </si>
  <si>
    <t>丘陵矮人</t>
  </si>
  <si>
    <t>体质+2，感知+1</t>
  </si>
  <si>
    <t>你的基础步行速度为25尺，你的速度不会因穿着重甲而减慢</t>
  </si>
  <si>
    <t>和矮人语</t>
  </si>
  <si>
    <t>你是类人生物。</t>
  </si>
  <si>
    <t>山地矮人</t>
  </si>
  <si>
    <t>灰矮人</t>
  </si>
  <si>
    <t>警戒龙纹</t>
  </si>
  <si>
    <t>体质+2，力量+2</t>
  </si>
  <si>
    <t>高等精灵</t>
  </si>
  <si>
    <t>木精灵</t>
  </si>
  <si>
    <t>黑暗精灵</t>
  </si>
  <si>
    <t>雅灵</t>
  </si>
  <si>
    <t>海精灵</t>
  </si>
  <si>
    <t>影灵</t>
  </si>
  <si>
    <t>阴影龙纹</t>
  </si>
  <si>
    <t>苍白精灵</t>
  </si>
  <si>
    <t>自选两项属性分别+2/+1或自选三项属性+1</t>
  </si>
  <si>
    <t>，以及任意一门自选语言</t>
  </si>
  <si>
    <t>半身人</t>
  </si>
  <si>
    <t>轻足半身人</t>
  </si>
  <si>
    <t>敦实半身人</t>
  </si>
  <si>
    <t>鬼智半身人</t>
  </si>
  <si>
    <t>医疗龙纹</t>
  </si>
  <si>
    <t>招待龙纹</t>
  </si>
  <si>
    <t>莲源半身人</t>
  </si>
  <si>
    <t>体质+2，智力+1</t>
  </si>
  <si>
    <t>人类</t>
  </si>
  <si>
    <t>人类变体</t>
  </si>
  <si>
    <t>探索龙纹</t>
  </si>
  <si>
    <t>畜牧龙纹</t>
  </si>
  <si>
    <t>创造龙纹</t>
  </si>
  <si>
    <t>通行龙纹</t>
  </si>
  <si>
    <t>守护龙纹</t>
  </si>
  <si>
    <t>序号</t>
  </si>
  <si>
    <t>敏捷+2，智力+1</t>
  </si>
  <si>
    <t>和精灵语</t>
  </si>
  <si>
    <t>龙裔</t>
  </si>
  <si>
    <t>龙国血统</t>
  </si>
  <si>
    <t>瑞雯奈特</t>
  </si>
  <si>
    <t>色彩龙血统</t>
  </si>
  <si>
    <t>宝石龙血统</t>
  </si>
  <si>
    <t>金属龙血统</t>
  </si>
  <si>
    <t>敏捷+2，感知+1</t>
  </si>
  <si>
    <t>侏儒</t>
  </si>
  <si>
    <t>森林侏儒</t>
  </si>
  <si>
    <t>岩侏儒</t>
  </si>
  <si>
    <t>地底侏儒</t>
  </si>
  <si>
    <t>抄录龙纹</t>
  </si>
  <si>
    <t>敏捷+2，魅力+1</t>
  </si>
  <si>
    <t>半精灵</t>
  </si>
  <si>
    <t>半木精灵</t>
  </si>
  <si>
    <t>半月精灵</t>
  </si>
  <si>
    <t>半日精灵</t>
  </si>
  <si>
    <t>半卓尔精灵</t>
  </si>
  <si>
    <t>半水生精灵</t>
  </si>
  <si>
    <t>侦测龙纹</t>
  </si>
  <si>
    <t>暴风龙纹</t>
  </si>
  <si>
    <t>半兽人</t>
  </si>
  <si>
    <t>你的基础步行速度为30尺，同时你拥有等同于你步行速度的游泳速度。</t>
  </si>
  <si>
    <t>提夫林</t>
  </si>
  <si>
    <t>提夫林变体</t>
  </si>
  <si>
    <t>巴尔泽布</t>
  </si>
  <si>
    <t>迪斯帕特</t>
  </si>
  <si>
    <t>菲尔娜</t>
  </si>
  <si>
    <t>格莱西雅</t>
  </si>
  <si>
    <t>莱维斯图斯</t>
  </si>
  <si>
    <t>马曼</t>
  </si>
  <si>
    <t>墨菲斯托菲利斯</t>
  </si>
  <si>
    <t>扎瑞尔</t>
  </si>
  <si>
    <t>阿斯莫</t>
  </si>
  <si>
    <t>费尔伯格人</t>
  </si>
  <si>
    <t>歌利亚</t>
  </si>
  <si>
    <t>半血裔</t>
  </si>
  <si>
    <t>你的基础步行速度为25尺</t>
  </si>
  <si>
    <t>和半身人语</t>
  </si>
  <si>
    <t>天狗</t>
  </si>
  <si>
    <t>巫咒之子</t>
  </si>
  <si>
    <t>敏捷+2，体质+1</t>
  </si>
  <si>
    <t>蜥蜴人</t>
  </si>
  <si>
    <t>重生者</t>
  </si>
  <si>
    <t>斑猫人</t>
  </si>
  <si>
    <t>重复特性</t>
  </si>
  <si>
    <t>动物强化</t>
  </si>
  <si>
    <t>梭螺鱼人</t>
  </si>
  <si>
    <t>亚种错误</t>
  </si>
  <si>
    <t>未选亚种</t>
  </si>
  <si>
    <t>互斥特性</t>
  </si>
  <si>
    <t>地精</t>
  </si>
  <si>
    <t>初级</t>
  </si>
  <si>
    <t>熊地精</t>
  </si>
  <si>
    <t>半日月精灵</t>
  </si>
  <si>
    <t>全部属性+1</t>
  </si>
  <si>
    <t>大地精</t>
  </si>
  <si>
    <t>高级</t>
  </si>
  <si>
    <t>自选两项不同属性各+1</t>
  </si>
  <si>
    <t>狗头人</t>
  </si>
  <si>
    <t>感知+2，体质+1</t>
  </si>
  <si>
    <t>和地精语，以及任意一门自选语言</t>
  </si>
  <si>
    <t>兽人</t>
  </si>
  <si>
    <t>感知+2，自选一项其他属性+1</t>
  </si>
  <si>
    <t>原体蛇人</t>
  </si>
  <si>
    <t>智力+2，自选一项其他属性+1</t>
  </si>
  <si>
    <t>吉斯人</t>
  </si>
  <si>
    <t>吉斯洋基人</t>
  </si>
  <si>
    <t>吉斯泽莱人</t>
  </si>
  <si>
    <t>敏捷+2，自选一项其他属性+1</t>
  </si>
  <si>
    <t>人马</t>
  </si>
  <si>
    <t>化兽者</t>
  </si>
  <si>
    <t>牛头人</t>
  </si>
  <si>
    <t>力量+2，魅力+1</t>
  </si>
  <si>
    <t>和龙语</t>
  </si>
  <si>
    <t>象族</t>
  </si>
  <si>
    <t>智力+2，魅力+1</t>
  </si>
  <si>
    <t>析米克混生体</t>
  </si>
  <si>
    <t>力量+2，体质+1</t>
  </si>
  <si>
    <t>维多肯</t>
  </si>
  <si>
    <t>幻身灵</t>
  </si>
  <si>
    <t>离梦人</t>
  </si>
  <si>
    <t>智力+2，敏捷+1</t>
  </si>
  <si>
    <t>和侏儒语</t>
  </si>
  <si>
    <t>机关人</t>
  </si>
  <si>
    <t>智力+2，体质+1</t>
  </si>
  <si>
    <t>阿兰寇拉鹰人</t>
  </si>
  <si>
    <t>元素裔</t>
  </si>
  <si>
    <t>气元素裔</t>
  </si>
  <si>
    <t>土元素裔</t>
  </si>
  <si>
    <t>火元素裔</t>
  </si>
  <si>
    <t>水元素裔</t>
  </si>
  <si>
    <t>龟人</t>
  </si>
  <si>
    <t>魅力+2，自选两项其他属性各+1</t>
  </si>
  <si>
    <t>和精灵语，以及任意一门自选语言</t>
  </si>
  <si>
    <t>佛丹人</t>
  </si>
  <si>
    <t>狮族</t>
  </si>
  <si>
    <t>半羊人</t>
  </si>
  <si>
    <t>枭人</t>
  </si>
  <si>
    <t>仙灵</t>
  </si>
  <si>
    <t>兔人</t>
  </si>
  <si>
    <t>自动侏儒</t>
  </si>
  <si>
    <t>魅力+2，敏捷+1</t>
  </si>
  <si>
    <t>诘弗人</t>
  </si>
  <si>
    <t>和兽人语</t>
  </si>
  <si>
    <t>鼯猴人</t>
  </si>
  <si>
    <t>流浆体</t>
  </si>
  <si>
    <t>智力+1，魅力+2</t>
  </si>
  <si>
    <t>和炼狱语</t>
  </si>
  <si>
    <t>螳螂人</t>
  </si>
  <si>
    <t>智力+1，敏捷+2</t>
  </si>
  <si>
    <t>魅力+2，智力+1</t>
  </si>
  <si>
    <t>魅力+2，感知+1</t>
  </si>
  <si>
    <t>魅力+2，体质+1</t>
  </si>
  <si>
    <t>矮人体魄</t>
  </si>
  <si>
    <t>矮人战斗训练</t>
  </si>
  <si>
    <t>工具熟练项</t>
  </si>
  <si>
    <t>石中精妙</t>
  </si>
  <si>
    <t>矮人刚毅</t>
  </si>
  <si>
    <t>矮人护甲训练</t>
  </si>
  <si>
    <t>增强黑暗视觉</t>
  </si>
  <si>
    <t>灵能坚韧</t>
  </si>
  <si>
    <t>灰矮人魔法</t>
  </si>
  <si>
    <t>龙纹法术</t>
  </si>
  <si>
    <t>守卫直觉</t>
  </si>
  <si>
    <t>保护与封锁</t>
  </si>
  <si>
    <t>你进行对抗毒素的豁免时具有优势，并且拥有毒素伤害的抗性。</t>
  </si>
  <si>
    <t>你具有战斧，手斧，轻锤和战锤的熟练项。</t>
  </si>
  <si>
    <t>你从以下工具中选择一项获得熟练项：铁匠工具、酿酒工具或石匠工具。</t>
  </si>
  <si>
    <t>每当你对一件石制品的起源做智力（历史）检定时，你视为具有历史技能的熟练项，并可以在检定中加上双倍的熟练加值，而非你平时的熟练加值。</t>
  </si>
  <si>
    <t>你的生命值最大值加1，且此后每次升级时再加1。</t>
  </si>
  <si>
    <t>你具有轻甲和中甲的护甲熟练项。</t>
  </si>
  <si>
    <t>你的黑暗视觉感官范围提升至120尺。</t>
  </si>
  <si>
    <t>你在为自己避免或结束魅惑和震慑状态的豁免检定时具有优势。</t>
  </si>
  <si>
    <t>从3级开始，你可以使用该特质对你自己施展变巨/缩小术 Enlarge/reduce ，且无需材料成分。
从5级开始，你同样可以使用该特质对你自己施展隐形术 Invisibility，且无需材料成分。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</si>
  <si>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如果你拥有施法或契约魔法职业能力，将以下龙纹法术加入施法职业法术列表中：
1环：警报术，艾嘉西斯之铠
2环：秘法锁，敲击术
3环：守卫刻文，防护法阵
4环：李欧蒙秘藏箱，摩登肯忠犬
5环：防活物护罩</t>
  </si>
  <si>
    <t>当你进行智力（调查）检定或使用盗贼工具进行属性检定时，你能掷一个d4，并把结果加到属性检定的结果上。</t>
  </si>
  <si>
    <t>你能够通过此特性施展警报术Alarm和法师护甲Mage Armor法术，从3级起，你还能通过此特性施展秘法锁Arcane Lock。一旦你通过此特性施展了前述法术，在完成一次长休前，你无法通过此特性再次施展那个法术。对你而言，这些法术的施法属性是智力。通过此特性施展这些法术时，无需材料成分。</t>
  </si>
  <si>
    <t>魅力+2，力量+1</t>
  </si>
  <si>
    <t>精灵武器训练</t>
  </si>
  <si>
    <t>额外语言</t>
  </si>
  <si>
    <t>出神</t>
  </si>
  <si>
    <t>轻捷步伐</t>
  </si>
  <si>
    <t>野性面具</t>
  </si>
  <si>
    <t>日照敏感</t>
  </si>
  <si>
    <t>卓尔魔法</t>
  </si>
  <si>
    <t>卓尔武器训练</t>
  </si>
  <si>
    <t>精类步</t>
  </si>
  <si>
    <t>海之子</t>
  </si>
  <si>
    <t>海之友</t>
  </si>
  <si>
    <t>黯蚀抗性</t>
  </si>
  <si>
    <t>鸦后的祝福</t>
  </si>
  <si>
    <t>狡诈直觉</t>
  </si>
  <si>
    <t>阴影塑形</t>
  </si>
  <si>
    <t>增强敏锐感官</t>
  </si>
  <si>
    <t>月织者的祝福</t>
  </si>
  <si>
    <t>中型或小型。在你选择种族时选择体型</t>
  </si>
  <si>
    <t>你具有长剑、短剑、短弓和长弓的武器熟练项。</t>
  </si>
  <si>
    <t>你习得一个戏法，从法师法术列表中选择之。其施法属性为智力。</t>
  </si>
  <si>
    <t>你能额外说、读、写一门额外的自选语言。</t>
  </si>
  <si>
    <t>精灵不需要睡眠。他们会在需要休息时陷入持续4个小时的半清醒深度冥想中（通用语中描述此状态的词是“出神Trance”）。冥想时精灵也会做梦，这种梦其实是反应多年来现实生活的思维活动。以这种方式休息后，你获得人类睡眠8小时的全部益处。</t>
  </si>
  <si>
    <t>你的基础步行速度提升至35尺。</t>
  </si>
  <si>
    <t>即便你只处于轻度遮蔽的状态，只要这一轻度遮蔽由树丛，大雨，落雪，雾气或其他自然现象提供，你也可以进行躲藏。</t>
  </si>
  <si>
    <t>你进行攻击检定和依赖视觉的感知（察觉）检定时，如果你本人、你的攻击目标或你尝试察觉的东西位于阳光直射下，则你所进行的相应检定具有劣势。</t>
  </si>
  <si>
    <t>你习得戏法舞光术dancing light。
达到3级后，你可以用此特质免费施展一次法术妖火faerie fire。完成一次长休后你重获以此免费施展这个法术的权利。
达到5级后，你可以用此特质免费施展一次法术黑暗术darkness。完成一次长休后你重获以此免费施展这个法术的权利。
这些法术的施法属性是魅力。</t>
  </si>
  <si>
    <t>你拥有刺剑、短剑和手弩的熟练项。</t>
  </si>
  <si>
    <t>用一个附赠动作，你可以魔法地传送到一处30尺内且未被占据的可见空间。你可以使用该特质的次数等于你的熟练加值，当你完成一次长休后，你重新获得所有消耗的次数。
当你到达3级时，你的精类步会根据你的季节获得额外的效果；如果该效果需要进行一次豁免，该DC等于8+你的熟练加值+你的智力，感知或魅力调整值（当你选择该种族时进行决定）：
秋 Autumn。在你使用精类步后，你可以立即选择两个10尺内的可见生物，这些生物必须进行一次感知豁免，如果豁免失败则被你魅惑1分钟，或者直到你或你的同伴对他做出伤害行为为止。
冬 Winter。在你使用精类步时，你可以选择传送前位于你5尺内的一个可见生物，这些生物必须进行一次感知豁免，如果失败则对你陷入恐慌，该效应持续至你的下一回合结束。
春 Spring。在你使用精类步时，你可以碰触5尺内的一个自愿的生物。这个生物代替你进行传送，出现在你选择的一处在你30尺范围内且未被占据的可见空间。
夏 Summer。在你使用精类步后，你立即选择的5尺范围内的每个可见生物，将受到等同于你熟练加值的火焰伤害。</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</si>
  <si>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</si>
  <si>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你可以在空气和水中呼吸，同时你具有冷冻伤害的抗性。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</si>
  <si>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</si>
  <si>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</si>
  <si>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你具有黯蚀伤害的抗性。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</si>
  <si>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</si>
  <si>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如果你拥有施法或契约魔法职业能力，将以下龙纹法术加入施法职业法术列表中：
1环：易容术，无声幻影
2环：黑暗术，行动无踪
3环：鹰眼术，高等幻影
4环：高等隐形术，幻景
5环：假象术</t>
  </si>
  <si>
    <t>当你进行魅力（表演）或敏捷（隐匿）检定时，你能掷一个d4，并把结果加到属性检定的结果上。</t>
  </si>
  <si>
    <t>你能够施展次级幻影Minor Illusion戏法。从第3级起，你能够通过此特性施展隐形术Invisibility。一旦你通过此特性施展了这个法术，在完成一次长休前，你无法通过此特性再次施展该法术。对你而言，这些法术的施法属性是魅力。</t>
  </si>
  <si>
    <t>你在智力（调查）和感知（洞悉）检定上具有优势。</t>
  </si>
  <si>
    <t>你习得戏法光亮术。第3级起，你能通过本特质释放一次睡眠术，当你完成一次长休后可重获释放次数。第5级起，你能释放一次隐形术（只能对自身释放），当你完成一次长休后可重获释放次数。通过本特质释放的这些法术不需要材料成分。感知是你释放这些法术的施法属性.</t>
  </si>
  <si>
    <t>勇气</t>
  </si>
  <si>
    <t>半身人灵巧</t>
  </si>
  <si>
    <t>天生善匿</t>
  </si>
  <si>
    <t>敦实体魄</t>
  </si>
  <si>
    <t>鬼灵言语</t>
  </si>
  <si>
    <t>医疗直觉</t>
  </si>
  <si>
    <t>医疗之触</t>
  </si>
  <si>
    <t>永远热情好客</t>
  </si>
  <si>
    <t>旅店老板的魔法</t>
  </si>
  <si>
    <t>树林之子</t>
  </si>
  <si>
    <t>木行</t>
  </si>
  <si>
    <t>当攻击检定、属性检定以及豁免检定掷出1时，你可以再重掷一次，但必须使用重掷的结果。</t>
  </si>
  <si>
    <t>你进行对抗恐慌的豁免时具有优势。</t>
  </si>
  <si>
    <t>你可以穿越任何体形比你大的生物所在空间。</t>
  </si>
  <si>
    <t xml:space="preserve">即便你只受体型比你更大的生物遮蔽，你也可以进行躲藏。 </t>
  </si>
  <si>
    <t>你进行对抗毒素的豁免时具有优势，你拥有毒素伤害的伤害抗性。</t>
  </si>
  <si>
    <t>你可以向你30尺内的任何生物如同心灵感应般进行沟通。生物必须与你共同知晓一种语言才能理解你的发言。你通过这个方式每次只能和一名生物进行心灵沟通。</t>
  </si>
  <si>
    <t>如果你拥有施法或契约魔法职业能力，将以下龙纹法术加入施法职业法术列表中：
1环：疗伤术，治愈真言
2环：次级复原术，治疗祷言
3环：活力灵光，群体治愈真言
4环：净化灵光，生命灵光
5环：高等复原术</t>
  </si>
  <si>
    <t>当你进行感知（医疗）检定时，你能掷一个d4，并把结果加到属性检定的结果上。</t>
  </si>
  <si>
    <t>你能够通过此特性施展疗伤术Cure Wounds，从第3级起，你还能施展次级复原术Lesser Restoration。一旦你使用此特性施展了前述法术，你将无法再次使用此特性，直到完成一次长休。感知是你在施展这些法术时的关键属性。</t>
  </si>
  <si>
    <t>如果你拥有施法或契约魔法职业能力，将以下龙纹法术加入施法职业法术列表中：
1环：神莓术，睡眠术
2环：援助术，安定心神
3环：造粮术，李欧蒙小屋
4环：净化灵光，摩登肯私人密室
5环：圣居</t>
  </si>
  <si>
    <t>当你进行魅力（说服）检定或者使用酿酒工具或厨师工具进行属性检定时，你能掷一个d4，并把结果加到属性检定的结果上。</t>
  </si>
  <si>
    <t>你习得戏法魔法伎俩Prestidigitation。同时，你能够通过此特性施展净化食粮Purify Food and Drink和隐形仆役Unseen Servant。一旦你通过此特性施展了前述法术，在完成一次长休前，你无法通过此特性再次施展那个法术。对你而言，这些法术的施法属性是魅力。</t>
  </si>
  <si>
    <t>你习得戏法德鲁伊伎俩。当你抵达3级时，你能通过本特质释放一次纠缠术，当你完成一次长休后可重获释放次数。当你抵达5级时，你能释放一次荆棘丛生，当你完成一次长休后可重获释放次数。通过本特质释放的这些法术不需要材料成分。感知是你释放这些法术的施法属性。</t>
  </si>
  <si>
    <t>对你进行追踪的属性检定具有劣势，并且你在通过由非魔法的植物和灌木丛形成的困难地形时，不需要花费额外移动力。</t>
  </si>
  <si>
    <t>猎人直觉</t>
  </si>
  <si>
    <t>寻者魔法</t>
  </si>
  <si>
    <t>调教能手</t>
  </si>
  <si>
    <t>原始链接</t>
  </si>
  <si>
    <t>它们不过是大了点</t>
  </si>
  <si>
    <t>工匠直觉</t>
  </si>
  <si>
    <t>匠师天赋</t>
  </si>
  <si>
    <t>魔力制造</t>
  </si>
  <si>
    <t>快递员之速</t>
  </si>
  <si>
    <t>运动直觉</t>
  </si>
  <si>
    <t>魔法通道</t>
  </si>
  <si>
    <t>哨兵直觉</t>
  </si>
  <si>
    <t>哨兵之盾</t>
  </si>
  <si>
    <t>警觉的护卫</t>
  </si>
  <si>
    <t>你获得一项自选的技能作为熟练项。</t>
  </si>
  <si>
    <t>你获得一项自选的专长。</t>
  </si>
  <si>
    <t>如果你拥有施法或契约魔法职业能力，将以下龙纹法术加入施法职业法术列表中：
1环：妖火，大步奔行
2环：动植物定位术，物件定位术
3环：鹰眼术，植物交谈
4环：预言术，生物定位术
5环：问道自然</t>
  </si>
  <si>
    <t>龙纹让你的感官变得敏锐，并能帮助你找到猎物。当你进行感知（察觉）或感知（生存）检定时，你能掷一个d4，并把结果加到属性检定的结果上。</t>
  </si>
  <si>
    <t>你能通过此特性施展猎人印记Hunter's Mark法术。从第3级起，你还能通过此特性施展物件定位术Locate Object。一旦你通过此特性施展了前述法术，在完成一次长休前，你无法通过此特性再次施展那个法术。对你而言，这些法术的施法属性是感知。</t>
  </si>
  <si>
    <t>如果你拥有施法或契约魔法职业能力，将以下龙纹法术加入施法职业法术列表中：
1环：化兽为友，动物交谈
2环：野兽知觉，安定心神
3环：希望信标，召唤动物
4环：生命灵光，支配野兽
5环：启蒙术</t>
  </si>
  <si>
    <t>当你进行感知（驯兽）或智力（自然）检定时，你能掷一个d4，并把结果加到属性检定的结果上。</t>
  </si>
  <si>
    <t>你能够对30英尺（取代通常的5英尺）内的友方动物伙伴或坐骑使用协助动作。</t>
  </si>
  <si>
    <t>你能够通过此特性施展化兽为友Animal Friendship和动物交谈Speak with Animals，且无需材料成分。一旦你通过此特性施展了前述法术，在完成一次长休前，你无法通过此特性再次施展那个法术。对你而言，这些法术的施法属性是感知。</t>
  </si>
  <si>
    <t>你施展化兽为友Animal Friendship或动物交谈Speak with Animals时可以指定野兽或怪兽为目标，前提是目标智力为3或以下。</t>
  </si>
  <si>
    <t>如果你拥有施法或契约魔法职业能力，将以下龙纹法术加入施法职业法术列表中：
1环：鉴定术，谭森浮碟术
2环：不灭明焰，魔化武器
3环：召唤箭雨，元素武器
4环：鬼斧神工，塑石术
5环：造物术</t>
  </si>
  <si>
    <t>当你用工匠工具进行属性检定时，你能掷一个d4，并把结果加到属性检定的结果上。</t>
  </si>
  <si>
    <t>你选择一种工匠工具，获得其熟练。</t>
  </si>
  <si>
    <t>你习得戏法修复术Mending。同时，你能够通过此特性施展魔化武器Magic Weapon，当你这么做时，该法术持续1小时，无需专注。一旦你通过此特性施展了前述法术，在完成一次长休前，你无法通过此特性再次施展那个法术。对你而言，这些法术的施法属性是智力。</t>
  </si>
  <si>
    <t>如果你拥有施法或契约魔法职业能力，将以下龙纹法术加入施法职业法术列表中：
1环：脚底抹油，跳跃术
2环：迷踪步，行动无踪
3环：闪现术，魅影驹
4环：任意门，行动自如
5环：传送法阵</t>
  </si>
  <si>
    <t>你的基础步行速度为35尺。</t>
  </si>
  <si>
    <t>当你进行力量（运动）检定或者为了操作或维护陆运载具而进行属性检定时，你能掷一个d4，并把结果加到属性检定的结果上。</t>
  </si>
  <si>
    <t>你能够通过此特性施展迷踪步Misty Step。一旦你通过此特性施展了前述法术，在完成一次长休前，你无法通过此特性再次施展此法术。对你而言，该法术的施法属性是敏捷。</t>
  </si>
  <si>
    <t>如果你拥有施法或契约魔法职业能力，将以下龙纹法术加入施法职业法术列表中：
1环：强令对决，虔诚护盾
2环：守护之链，诚实之域
3环：法术反制，防护能量伤害
4环：防死结界，信仰守卫
5环：毕格比之手</t>
  </si>
  <si>
    <t>当你进行感知（洞悉）或感知（察觉）检定时，你能掷一个d4，并把结果加到属性检定的结果上。</t>
  </si>
  <si>
    <t>你能够通过此特性施展护盾术Shield，在完成一次长休后，你能通过此特性再次施展该法术。你施展该法术的关键属性是感知。</t>
  </si>
  <si>
    <t>当距离你5尺内的可见生物被攻击命中时，你能以一个反应与该生物交换位置，同时你代替该生物被击中。这么做后，你将无法再次使用此特性，直到完成一次长休。</t>
  </si>
  <si>
    <t>你的步行速度为30尺，并且拥有等于你行走速度的攀爬速度。</t>
  </si>
  <si>
    <t>龙族血统</t>
  </si>
  <si>
    <t>吐息武器</t>
  </si>
  <si>
    <t>龙族抗性</t>
  </si>
  <si>
    <t>盛气凌人</t>
  </si>
  <si>
    <t>复仇突击</t>
  </si>
  <si>
    <t>繁彩防护</t>
  </si>
  <si>
    <t>灵能心智</t>
  </si>
  <si>
    <t>宝石之翼</t>
  </si>
  <si>
    <t>金属龙吐息</t>
  </si>
  <si>
    <t>你拥有巨龙的血统。在表格“龙族血统”中选择一个龙种，并基于所选龙种，决定你吐息的形式和具有的伤害抗性。
龙种    伤害类型 
色彩龙血脉
黑        强酸
蓝        闪电
绿        毒素
红        火焰
白        冷冻
金属龙血脉
黄铜           火焰
青铜           闪电
赤铜          强酸
金               火焰
银               冷冻
宝石龙血脉
紫水晶       力场
水晶           光耀
翡翠           心灵
蓝宝石       雷鸣
黄玉           黯蚀</t>
  </si>
  <si>
    <t>你可以使用动作呼出破坏性的能量。你的龙族血统决定了吐息的范围、形状以及其伤害类型。
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
黑龙血统：你的吐息的范围为30尺长5尺宽、形状为线状，伤害类型为强酸，豁免类型为敏捷。
蓝龙血统：你的吐息的范围为30尺长5尺宽、形状为线状，伤害类型为闪电，豁免类型为敏捷。
黄铜龙血统：你的吐息的范围为30尺长5尺宽、形状为线状，伤害类型为火焰，豁免类型为敏捷。
青铜龙血统：你的吐息的范围为30尺长5尺宽、形状为线状，伤害类型为闪电，豁免类型为敏捷。
赤铜龙血统：你的吐息的范围为30尺长5尺宽、形状为线状，伤害类型为强酸，豁免类型为敏捷。
金龙血统：你的吐息的范围为15尺、形状为锥状，伤害类型为火焰，豁免类型为敏捷。
绿龙血统：你的吐息的范围为15尺、形状为锥状，伤害类型为毒素，豁免类型为体质。
红龙血统：你的吐息的范围为15尺、形状为锥状，伤害类型为火焰，豁免类型为敏捷。
银龙血统：你的吐息的范围为15尺、形状为锥状，伤害类型为冷冻，豁免类型为体质。
白龙血统：你的吐息的范围为15尺、形状为锥状，伤害类型为冷冻，豁免类型为体质。</t>
  </si>
  <si>
    <t>你获得你所选的龙族血脉对应的伤害类型的抗性。</t>
  </si>
  <si>
    <t>你可以用你喜欢的方式，利用对创造性外交或恐吓的理解，来引导一场交谈。 当你进行一次魅力（威吓或说服）检定时，你可以获得优势。 一旦使用了本特质，直到完成一次短休或长休后你才能再次使用。</t>
  </si>
  <si>
    <t xml:space="preserve">当一个生物对你造成伤害时，如果它在你所持用的武器的射程之内，你能用你的反应使用该武器对那个生物进行一次攻击。一旦使用了本特质，直到完成一次短休或长休后你才能再次使用。 </t>
  </si>
  <si>
    <t>当你使用攻击动作时，你可以将其中一次攻击替换为呼出一种30尺长，5尺宽的魔法能量。矩形范围内的每个生物都必须成功通过一次DC为（8+你的体质调整值+你的熟练加值）的敏捷豁免，否则将受到1d10的对应色彩龙血脉的伤害，成功则伤害减半。该伤害在你达到5级时增至2d10，11级时增至3d10，17级时增至4d10。
你可以使用该特性的次数等同于你的熟练加值，你在完成 一次长休后重获所有已使用的次数。</t>
  </si>
  <si>
    <t>5级起，你可以用一个动作引导出你的龙族能量来保护自身。1分钟内，你免疫你所选的色彩龙血脉对应的伤害类型。在你使用此特性后，你在完成一次长休之前不能再次使用。</t>
  </si>
  <si>
    <t>当你使用攻击动作时，你可以将其中一次攻击替换为呼出一种15尺锥形的魔法能量。锥形范围内的每个生物都必须成功通过一次DC为（8+你的体质调整值+你的熟练加值）的敏捷豁免，否则将受到1d10的对应宝石龙血脉的伤害，成功则伤害减半。该伤害在你达到5级时增至2d10，11级时增至3d10，17级时增至4d10。
你可以使用该特性的次数等同于你的熟练加值，你在完成 一次长休后重获所有已使用的次数。</t>
  </si>
  <si>
    <t>你可以与身边 30 尺内任意你能看见的生物通过心灵感应方式进行交流。你无须懂得该生物的语言也能使其理解你通过心灵感应所传达的话语，但它必须至少会一种语言来理解你传达的信息。</t>
  </si>
  <si>
    <t>5级起，你可以用附赠动作在身上显形一对幽光翅膀，持续1分钟。你在持续时间内获得等同你步行速度的飞行速度，并且可以悬浮。使用此特性后，你在完成一次长休前不能再次使用。</t>
  </si>
  <si>
    <t>当你使用攻击动作时，你可以将其中一次攻击替换为呼出一种15尺锥形的魔法能量。锥形范围内的每个生物都必须成功通过一次DC为（8+你的体质调整值+你的熟练加值）的敏捷豁免，否则将受到1d10的对应金属龙血脉的伤害，成功则伤害减半。该伤害在你达到5级时增至2d10，11级时增至3d10，17级时增至4d10。
你可以使用该特性的次数等同于你的熟练加值，你在完成 一次长休后重获所有已使用的次数。</t>
  </si>
  <si>
    <t>5级起，你获得第二种吐息武器。当你使用攻击动作时，你可以将其中一次攻击替换为呼出一种15尺锥形的魔法气体。其豁免DC为8+你的体质调整值+你的熟练加值。在你使用此特性时，选择以下一项：
• 衰弱吐息。范围内的每个生物必须成功通过一次体质豁免，否则将陷入失能，直至你的下个回合开始。
• 排斥吐息。范围内的每个生物必须成功通过一次力量豁免，否则将被推离20尺并应击倒地。在你使用你的金属龙吐息武器后，你不能再次使用它，直至你完成一次长休。</t>
  </si>
  <si>
    <t>你是类人生物。如果有任何前提或效果需要你作为一个类地精生物，你也被视作类地精生物。</t>
  </si>
  <si>
    <t>侏儒狡黠</t>
  </si>
  <si>
    <t>自然幻术师</t>
  </si>
  <si>
    <t>小型野兽交谈</t>
  </si>
  <si>
    <t>工匠学识</t>
  </si>
  <si>
    <t>修补匠</t>
  </si>
  <si>
    <t>斯涅布力伪装</t>
  </si>
  <si>
    <t>斯涅布力赠礼</t>
  </si>
  <si>
    <t>天才抄写员</t>
  </si>
  <si>
    <t>抄写员的领悟</t>
  </si>
  <si>
    <t>你进行对抗魔法的智力、感知和魅力的豁免时具有优势。</t>
  </si>
  <si>
    <t>你习得戏法次级幻影minor illusion。其施法关健属性为智力。</t>
  </si>
  <si>
    <t>你可以通过声音和手势与小型或更小的野兽进行简单沟通。森林侏儒喜爱动物，且经常喂养松鼠、獾、兔子、鼹鼠、啄木鸟等动物作为自己心爱的宠物。</t>
  </si>
  <si>
    <t>当你进行关于魔法物品、炼金物品或是工艺元件的智力（历史）检定时，你可以在检定中加上双倍的熟练加值，而非你平时的熟练加值。</t>
  </si>
  <si>
    <t>你拥有工匠工具（修补工具）的熟练项。使用这些工具时，你可以花费1小时时间和10gp材料制作一个微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
  制作装置时，你选择下列选项之一：
发条玩具Clockwork Toy。该玩具是个机械的动物、怪物或人，例如青蛙、老鼠、鸟、龙或者士兵。当被放在地上时，该玩具能在你的回合里随机向一个方向移动5尺。此外该玩具还会模范所模拟生物发出声响。
打火机Fire Starter。该装置可以产生微小的火焰。你可以用它来点蜡烛，火把或营火。使用该装置需要花费动作。
音乐盒Music Box。音乐盒打开时，将以适中的音量奏响固定的一首的歌曲。音乐播放完毕，或音乐盒被关闭时，音乐盒将停止发声。</t>
  </si>
  <si>
    <t>当你进行敏捷（隐匿）检定时，你可以使该次检定具有优势。你可以使用此特质的次数等于你的熟练加值，当你完成一次长休后，你重新获得所有消耗的次数。</t>
  </si>
  <si>
    <t>从3级开始，你可以使用该特质施展易容术 Disguise Self 。
从5级开始，你同样可以使用该特质施展回避侦测 Nondetection，且无需材料成分。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</si>
  <si>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如果你拥有施法或契约魔法职业能力，将以下龙纹法术加入施法职业法术列表中：
1环：通晓语言，迷幻手稿
2环：动物信使，沉默术
3环：短讯术，巧言术
4环：秘法眼，困惑术
5环：托梦术</t>
  </si>
  <si>
    <t>你当你进行智力（历史）检定或使用书法工具进行属性检定时，你能掷一个d4，并把结果加到属性检定的结果上。</t>
  </si>
  <si>
    <t>你习得戏法传讯术Message。同时，你能够通过此特性施展通晓语言Comprehend Languages，在完成一次短休或长休后，你能通过此特性再次施展此法术。从第3级起，你还能通过此特性施展魔嘴术Magic Mouth，在完成一次长休后，你能通过此特性再次施展此法术。对你而言，这些法术的施法属性是智力。</t>
  </si>
  <si>
    <t>推理直觉</t>
  </si>
  <si>
    <t>魔法侦测</t>
  </si>
  <si>
    <t>驭风者直觉</t>
  </si>
  <si>
    <t>暴风之祝福</t>
  </si>
  <si>
    <t>逆风行事</t>
  </si>
  <si>
    <t>你获得两项自选技能的熟练项。</t>
  </si>
  <si>
    <t>基础游泳速度为30尺</t>
  </si>
  <si>
    <t>如果你拥有施法或契约魔法职业能力，将以下龙纹法术加入施法职业法术列表中：
1环：侦测善恶，侦测毒性和疾病
2环：侦测思想，寻找陷阱
3环：鹰眼术，回避侦测
4环：秘法眼，预言术
5环：通晓传奇</t>
  </si>
  <si>
    <t>当你进行智力（调查）或感知（洞悉）检定时，你能够掷一个d4，将结果加到你的属性检定结果中。</t>
  </si>
  <si>
    <t xml:space="preserve">你能够以此特性施展侦测魔法Detect Magic和侦测毒性和疾病Detect Poison and Disease法术，从3级起，你还能通过这一特性施展识破隐形See Invisibility。一旦你通过此特性施展了前述法术，在完成一次长休前，你无法通过此特性再次施展那个法术。对你而言，这些法术的施法属性是感知，且你无需为这些法术提供材料成分。 </t>
  </si>
  <si>
    <t>如果你拥有施法或契约魔法职业能力，将以下龙纹法术加入施法职业法术列表中：
1环：羽落术，云雾术
2环：造风术，浮空术
3环：雪雨暴，风墙术
4环：召唤次级元素生物，操控水体
5环：召唤元素生物</t>
  </si>
  <si>
    <t>当你进行敏捷（特技）检定或任何使用领航工具的属性检定时，你能掷一个d4，并把结果加到属性检定的结果上。</t>
  </si>
  <si>
    <t>你对闪电伤害有抗性。</t>
  </si>
  <si>
    <t xml:space="preserve">你习得戏法舞风术Gust。从第3级起，你能够通过此特性每日一次施展造风术Gust of Wind，在完成一次长休后，你可以通过此特性再次施展此法术。对你而言，这些法术的施法属性是魅力。 </t>
  </si>
  <si>
    <t>凶恶</t>
  </si>
  <si>
    <t>坚韧不屈</t>
  </si>
  <si>
    <t>凶蛮攻击</t>
  </si>
  <si>
    <t>你获得威吓技能的熟练项。</t>
  </si>
  <si>
    <t>当你生命值降至0而没有立即死亡时，可以改为使生命值降至1。此特质生效后必须完成一次长休后才能再次生效。</t>
  </si>
  <si>
    <t>使用近战武器攻击造成重击时，你可以额外掷一个该武器的伤害骰，并将其数值加入到重击的额外伤害中。</t>
  </si>
  <si>
    <t>炎狱抗性</t>
  </si>
  <si>
    <t>马拉多米尼之遗赠</t>
  </si>
  <si>
    <t>迪斯遗赠</t>
  </si>
  <si>
    <t>福莱格索斯的遗赠</t>
  </si>
  <si>
    <t>马尔伯吉之遗赠</t>
  </si>
  <si>
    <t>斯泰吉亚之遗赠</t>
  </si>
  <si>
    <t>弥瑙洛斯之遗赠</t>
  </si>
  <si>
    <t>卡尼亚遗赠</t>
  </si>
  <si>
    <t>阿弗纳斯之遗赠</t>
  </si>
  <si>
    <t>你对火焰伤害具有抗性.</t>
  </si>
  <si>
    <t>你习得戏法奇术thaumaturgy。
达到3级后，你可以用此特质免费施展一次2环版本的炼狱叱喝hellish rebuke。完成一次长休后你重获以此免费施展这个法术的权利。
达到5级后，你也可以用此特质免费施展一次黑暗术darkness。完成一次长休后你重获以此免费施展这个法术的权利。
这些法术的施法属性均为魅力。</t>
  </si>
  <si>
    <t>你习得戏法 恶言相加Vicious Mockery 。
达到3级后，你可以用此特质免费施展一次2环版本的 魅惑人类Charm Person 。
达到5级后，你可以用此特质免费施展一次 注目术enthrall 。
你必须完成一次长休之后才能再次用此特质施展这些法术。这些法术的施法属性为魅力。</t>
  </si>
  <si>
    <t>你习得戏法奇术thaumaturgy。
达到3级后，你可以用此特质免费施展一次2环版本的燃烧之手Burning Hands 。完成一次长休后你重获以此免费施展这个法术的权利。
达到5级后，你也可以用此特质免费施展一次黑暗术darkness。完成一次长休后你重获以此免费施展这个法术的权利。
这些法术的施法属性均为魅力。</t>
  </si>
  <si>
    <t>在你的肩胛骨下方有一双蝙蝠般的翅膀。未穿着重甲的情况下，你具有30尺飞行速度。</t>
  </si>
  <si>
    <t>你获得施展戏法奇术thaumaturgy的能力。
第3级时，你可以每日施展一次2环的致病射线ray of sickness。
第5级，你可以每日施展一次疯狂冠冕crown of madness。花费掉的法术次数将在一次长休后恢复。与该特质相关的施法属性为魅力。</t>
  </si>
  <si>
    <t>你获得施展戏法奇术thaumaturgy的能力。
第3级时，你可以每日施展一次易容术disguise self。
第5级，你可以每日施展一次侦测思想detect thoughts。花费掉的法术次数将在一次长休后恢复。与该特质相关的施法属性为魅力。</t>
  </si>
  <si>
    <t>你获得施展戏法交友术friends的能力。
第3级时，你可以每日施展一次2环的魅惑人类charm person。
第5级，你可以每日施展一次暗示术suggestion。花费掉的法术次数将在一次长休后恢复。与该特质相关的施法属性为魅力。</t>
  </si>
  <si>
    <t>你获得施展戏法次级幻影minor illusion的能力。
第3级时，你可以每日施展一次易容术disguise self。
第5级，你可以每日施展一次隐形术invisibility。花费掉的法术次数将在一次长休后恢复。与该特质相关的施法属性为魅力。</t>
  </si>
  <si>
    <t>你获得施展戏法冷冻射线ray of frost的能力。
第3级时，你可以每日施展一次2环的艾嘉西斯之铠armor of Agathys。
第5级，你可以每日施展一次黑暗术darkness。花费掉的法术次数将在一次长休后恢复。与该特质相关的施法属性为魅力。</t>
  </si>
  <si>
    <t>你获得施展戏法法师之手mage hand的能力。
第3级时，你可以施展一次谭森浮碟术Tenser’s floating disk，你在一次短休或长休后可以重新施展此法术。
第5级，你可以施展一次秘法锁arcane lock而不需要材料成分，你在一次长休后可以重新施展此法术。与该特质相关的施法属性为魅力。</t>
  </si>
  <si>
    <t>你获得施展戏法法师之手mage hand的能力。
第3级时，你可以每日施展一次2环的燃烧之手burning hands。
第5级，你可以每日施展一次火焰刀flame blade。花费掉的法术次数将在一次长休后恢复。与该特质相关的施法属性为魅力。</t>
  </si>
  <si>
    <t>你获得施展戏法奇术thaumaturgy的能力。
第3级时，你可以每日施展一次2环的炽焰斩searing smite。
第5级，你可以每日施展一次印记斩branding smite。花费掉的法术次数将在一次长休后恢复。与该特质相关的施法属性为魅力。</t>
  </si>
  <si>
    <t>你的基础步行速度为40尺</t>
  </si>
  <si>
    <t>你是精类生物。</t>
  </si>
  <si>
    <t>天界抗力</t>
  </si>
  <si>
    <t>治愈之手</t>
  </si>
  <si>
    <t>光辉掌者</t>
  </si>
  <si>
    <t>天启</t>
  </si>
  <si>
    <t>你具有黯蚀和光耀伤害的抗性。</t>
  </si>
  <si>
    <t>以一个动作，你可以触碰一个生物并投掷等同于你熟练加值的d4。该生物恢复等同于掷骰结果的生命值。一旦你使用了该特质，直到你完成一次长休之前你不能再次使用。</t>
  </si>
  <si>
    <t>你知晓戏法光亮术 Light。在施展它时，魅力是你的关键施法属性。</t>
  </si>
  <si>
    <t>当你到达3级时，请选择以下的一个启示选项。此后，你可以使用一个附赠动作来释放你内在的天界能量，获得该启示的益处。你的转变持续1分钟或直到你以一个附赠动作停止。一旦你使用以下的启示进行变身，直到你完成一次长休之前你不能再次使用：</t>
  </si>
  <si>
    <t>你的双目短暂地变成黑暗之池，而幽灵般无法飞行的双翼暂时地从你的背上涌出。除你盟友外，任何在你10尺内可以看你的生物都必须通过一次的魅力豁免（DC为8+你的熟练加值+你的魅力调整值），否则将会陷入恐慌直到你的下一个回合结束。在变身结束前，在每个你的回合中一次，当你的一次攻击或法术造成伤害时，你可以对一个目标造成额外的黯蚀伤害。该额外伤害等同于你的熟练加值。</t>
  </si>
  <si>
    <t>灼热的光芒会暂时地从你的双眼和口中涌动而出。在此期间，你发出10尺半径的明亮光照和额外10尺的微光光照，在每次你的回合结束时，你与你10尺范围内的每个生物都会受到等同于你熟练加值的光耀伤害。直到变身结束，在每个你的回合中一次，当你的一次攻击或法术造成伤害时，你可以对一个目标造成额外的光耀伤害。该额外伤害等同于你的熟练加值。</t>
  </si>
  <si>
    <t>两条辉煌的，光谱般的翅膀从你的背后涌出。在变身结束之前，你获得等同于你步行速度的飞行速度，且每个你的回合中一次，当你的一次攻击或法术造成伤害时，你可以对一个目标造成额外的光耀伤害。该额外伤害等同于你的熟练加值。</t>
  </si>
  <si>
    <t>和象族语</t>
  </si>
  <si>
    <t>费尔伯格人魔法</t>
  </si>
  <si>
    <t>神隐步</t>
  </si>
  <si>
    <t>身强力壮</t>
  </si>
  <si>
    <t>兽与叶之语</t>
  </si>
  <si>
    <t>体质+2，自选一项其他属性+1</t>
  </si>
  <si>
    <t>和维多肯语或精灵语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</si>
  <si>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</si>
  <si>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</si>
  <si>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在决定你的载重、和你可以推、拉及抬的重量时，你视作为体型大一级的生物。</t>
  </si>
  <si>
    <t>你有能力以有限的方式与野兽，植物与植被交流。它们可以理解你的话的意思，虽然你没有特殊的能力来明白它们的回应。你在所有试图影响它们的魅力检定具有优势。</t>
  </si>
  <si>
    <t>智力+2，感知+1</t>
  </si>
  <si>
    <t>和维多肯语，以及任意一门自选语言</t>
  </si>
  <si>
    <t>小型巨人</t>
  </si>
  <si>
    <t>生于高山</t>
  </si>
  <si>
    <t>石之坚韧</t>
  </si>
  <si>
    <t>你拥有运动技能的熟练项，并且在决定你的载重、和你可以推、拉及抬的重量时，你视作为体型大一级的生物。</t>
  </si>
  <si>
    <t>你具有冷冻伤害的抗性。即使你从未去过，你也天生地适应高海拔。这包括超过2万尺的高度。</t>
  </si>
  <si>
    <t>你可以超自然地借由坚硬的岩石避免受伤。当你受到伤害时，你可以使用你的反应，掷一粒d12。将你的体质调整值与骰掷的结果相加，降低该总和的伤害。
你可以使用此特质的次数等于你的熟练加值，当你完成一次长休后，你重新获得所有消耗的次数。</t>
  </si>
  <si>
    <t>感知+2，魅力+1</t>
  </si>
  <si>
    <t>和梦族语，以及任意一门自选语言</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</si>
  <si>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</si>
  <si>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</si>
  <si>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</si>
  <si>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</si>
  <si>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</si>
  <si>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</si>
  <si>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啃咬</t>
  </si>
  <si>
    <t>屏息</t>
  </si>
  <si>
    <t>饥渴之喉</t>
  </si>
  <si>
    <t>天生护甲</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</si>
  <si>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</si>
  <si>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</si>
  <si>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</si>
  <si>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</si>
  <si>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</si>
  <si>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</si>
  <si>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你的基础步行速度为35尺</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</si>
  <si>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</si>
  <si>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</si>
  <si>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</si>
  <si>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</si>
  <si>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</si>
  <si>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</si>
  <si>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</si>
  <si>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</si>
  <si>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</si>
  <si>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</si>
  <si>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</si>
  <si>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
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</si>
  <si>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</si>
  <si>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你具有冷冻伤害的抗性，能够适应海洋深处的严寒。</t>
  </si>
  <si>
    <t>小型生物的怒火</t>
  </si>
  <si>
    <t>迅捷逃生</t>
  </si>
  <si>
    <t>体质+1，魅力+2</t>
  </si>
  <si>
    <t>1-4级为小型，5级后为中型</t>
  </si>
  <si>
    <t>你在为自己避免或结束魅惑状态的豁免检定时具有优势。</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</si>
  <si>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</si>
  <si>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</si>
  <si>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体质+2，力量+1</t>
  </si>
  <si>
    <t>和狮族语</t>
  </si>
  <si>
    <t>长肢</t>
  </si>
  <si>
    <t>隐秘</t>
  </si>
  <si>
    <t>突袭攻击</t>
  </si>
  <si>
    <t>当你在你的回合使用近战攻击时，你的触及范围比通常范围多5尺。</t>
  </si>
  <si>
    <t>你获得隐匿技能的熟练项。此外，不需要挤身，你可以在小型生物刚好占据的空间中通过和停留。</t>
  </si>
  <si>
    <t>如果你的攻击检定命中了一个战斗开始后还没开始过自己回合的生物，该生物受到额外2d6的伤害。</t>
  </si>
  <si>
    <t>精类赠礼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</si>
  <si>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</si>
  <si>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</si>
  <si>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</si>
  <si>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龙吼</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</si>
  <si>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</si>
  <si>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</si>
  <si>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</si>
  <si>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</si>
  <si>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 xml:space="preserve">你是构装生物。 </t>
  </si>
  <si>
    <t>应激冲刺</t>
  </si>
  <si>
    <t>你可以用附赠动作进行疾走Dash动作。你可以使用此特质的次数等于你的熟练加值，当你完成一次长休后，你重新获得所有消耗的次数。并且你一回合不能使用该特质超过一次。
每当你使用该特质时，你获得等于你熟练加值的临时生命值。</t>
  </si>
  <si>
    <t>当你生命值降至0 而没有立即死亡时，可以改为使生命值降至1。此特质生效后必须完成一次长休后才能再次生效。</t>
  </si>
  <si>
    <t>魔法抗性</t>
  </si>
  <si>
    <t>毒素抗性</t>
  </si>
  <si>
    <t>毒蛇魔法</t>
  </si>
  <si>
    <t xml:space="preserve">你是泥怪。 </t>
  </si>
  <si>
    <t>你对抗法术的豁免检定具有优势。</t>
  </si>
  <si>
    <t>你在避免或结束自己的中毒状态的豁免检定中具有优势。你也具有对毒素伤害的抗性。</t>
  </si>
  <si>
    <t>你知晓戏法毒气喷溅poison spray。你能够无限次施展化兽为友 animal friendship，不过目标只能是蛇。从3级开始，你能够施展暗示术suggestion，一但你施展了它，在你完成一次长休息前无法再次使用。你也能用你拥有的相应法术环阶的法术位来施展这些法术。
当你使用该特质施展这些法术时，智力，感知或魅力是你的施法属性（当你选择该种族时进行决定）。</t>
  </si>
  <si>
    <t xml:space="preserve">你是怪兽。 </t>
  </si>
  <si>
    <t>心灵抗性</t>
  </si>
  <si>
    <t>星界知识</t>
  </si>
  <si>
    <t>吉斯洋基灵能</t>
  </si>
  <si>
    <t>精神灵术</t>
  </si>
  <si>
    <t>吉斯泽莱灵能</t>
  </si>
  <si>
    <t>中型或小型。在你获得该族系时选择体型</t>
  </si>
  <si>
    <t>你具有心灵伤害的抗性。</t>
  </si>
  <si>
    <t>你可以神秘地进入一个与星界位面相连接的实体经验储存池。当你完成一次长休后，你能够获得一项你选择技能的熟练项，和一项你从《玩家手册》中选择的一个武器或工具的熟练项，如同你短暂地将自己的意识投影到了星界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</si>
  <si>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</si>
  <si>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</si>
  <si>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</si>
  <si>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</si>
  <si>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</si>
  <si>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</si>
  <si>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</si>
  <si>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</si>
  <si>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</si>
  <si>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</si>
  <si>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你的精类血统连接着自然，这给予了你与自然界与其中的动物有着一种直觉上的联系。因此，你拥有以下一项自选技能的熟练项：医药，自然，或生存。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</si>
  <si>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</si>
  <si>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</si>
  <si>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</si>
  <si>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</si>
  <si>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</si>
  <si>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</si>
  <si>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</si>
  <si>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同时你在任何为导航和追踪所进行的感知（生存）检定具有优势。</t>
  </si>
  <si>
    <t>身强体壮</t>
  </si>
  <si>
    <t>象之宁静</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</si>
  <si>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</si>
  <si>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</si>
  <si>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</si>
  <si>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</si>
  <si>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</si>
  <si>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</si>
  <si>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仰仗你敏感的鼻子，你在依赖嗅觉进行的感知（察觉），感知（生存）和智力（调查）检定上具有优势。</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</si>
  <si>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</si>
  <si>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</si>
  <si>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你获得等于你步行速度的攀爬速度。</t>
  </si>
  <si>
    <t>你可以在水中呼吸空气，你获得等于你步行速度的游泳速度.</t>
  </si>
  <si>
    <t>你的手臂旁边长着两个特殊的附肢。你可以选择它们是爪子还是触手。使用一个动作，你可以使用他们来尝试擒抱一个生物。这些附肢都是天生武器，你可以用它们进行徒手攻击。如果你用它攻击，目标会受到1d6 +你的力量调整值的钝击伤害，而非普通徒手攻击的钝击伤害。在击中目标后，你可以尝试用附赠动作擒拿抱目标。这些附肢不能精确操控任何东西，也不能使用武器、魔法物品或其他特殊装备。</t>
  </si>
  <si>
    <t>你皮肤的一些地方被厚厚的外壳覆盖着。当你不穿重甲时，你将获得AC +1加值。</t>
  </si>
  <si>
    <t>使用动作你可以从口腔的腺体中喷射出一股酸性物质，选择30英尺内你能看到的一个生物或物体作为目标。除非其成功通过DC等于8 +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</si>
  <si>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</si>
  <si>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</si>
  <si>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</si>
  <si>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</si>
  <si>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</si>
  <si>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</si>
  <si>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幻身灵本能</t>
  </si>
  <si>
    <t>多亏了你与妖精国度的联系，你可以获得以下两项自选技能的熟练：欺瞒，洞悉，威吓，表演，或游说。</t>
  </si>
  <si>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</si>
  <si>
    <t>双重灵魂</t>
  </si>
  <si>
    <t>心灵训练</t>
  </si>
  <si>
    <t>心灵链接</t>
  </si>
  <si>
    <t>隔离梦境</t>
  </si>
  <si>
    <t>你对所有感知豁免具有优势。</t>
  </si>
  <si>
    <t>你对心灵伤害具有抗性。</t>
  </si>
  <si>
    <t>你能够对 10倍等级数 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</si>
  <si>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</si>
  <si>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野兽本能</t>
  </si>
  <si>
    <t>化形</t>
  </si>
  <si>
    <t>由于和内在兽性的联系，你拥有以下一项自选技能的熟练项：特技，运动，威吓，或求生。</t>
  </si>
  <si>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</si>
  <si>
    <t>你获得1d6点的额外临时生命值。当你处于化形状态时，你的AC额外+1。</t>
  </si>
  <si>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</si>
  <si>
    <t>当你处于化形状态时，你的移动速度增加10尺。另外，当一生物在其回合进入你的5尺范围内时，你可以用反应移动最多10尺，且这样的移动不会触发借机攻击。</t>
  </si>
  <si>
    <t>当你处于化形状态时，你的感知检定具有优势。且除非你处于失能状态，否则任何在你30尺范围内的生物无法在对你进行的攻击检定中具有优势。</t>
  </si>
  <si>
    <t>构装体耐力</t>
  </si>
  <si>
    <t>哨兵式休息</t>
  </si>
  <si>
    <t>一体化防护</t>
  </si>
  <si>
    <t>专业设计</t>
  </si>
  <si>
    <t>你被设计为拥有非凡的强韧，这表现在以下几个方面：
• 你进行对抗毒素的豁免时具有优势，并且拥有毒素伤害的抗性。
• 你不需要吃、喝和呼吸。
• 你对疾病免疫。
• 你不需要睡眠，也不会因为魔法效果而陷入睡眠。</t>
  </si>
  <si>
    <t>当你进行长休息时，你必须花费6小时处于一种静止的、非激活的状态，以代替睡眠。处于该状态时，你变得迟缓，但不会失去意识，并能够保持正常的视力和听力。</t>
  </si>
  <si>
    <t>你的身体有内置的防护层，这一防护可被护甲增强：
• 你的护甲等级（AC）+1
•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 只要你还活着，你所穿着的护甲就不能在违背你意愿的情况下被卸下。</t>
  </si>
  <si>
    <t>你选择一项技能和一种工具，获得其熟练。</t>
  </si>
  <si>
    <t>飞行</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</si>
  <si>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</si>
  <si>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</si>
  <si>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</si>
  <si>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</si>
  <si>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</si>
  <si>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魔息</t>
  </si>
  <si>
    <t>闪电抗性</t>
  </si>
  <si>
    <t>融入清风</t>
  </si>
  <si>
    <t>土行</t>
  </si>
  <si>
    <t>混入大地</t>
  </si>
  <si>
    <t>火焰抗性</t>
  </si>
  <si>
    <t>烈焰之触</t>
  </si>
  <si>
    <t>强酸抗性</t>
  </si>
  <si>
    <t>水陆两栖</t>
  </si>
  <si>
    <t>游泳</t>
  </si>
  <si>
    <t>呼唤波浪</t>
  </si>
  <si>
    <t>只要你未陷入失能，就可以一直保持闭气。</t>
  </si>
  <si>
    <t>你具有闪电伤害的抗性。</t>
  </si>
  <si>
    <t>你知晓戏法电爪 Shocking Grasp。
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</si>
  <si>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</si>
  <si>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</si>
  <si>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</si>
  <si>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
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</si>
  <si>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</si>
  <si>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</si>
  <si>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你拥有等同于你步行速度的游泳速度。</t>
  </si>
  <si>
    <t>你知晓戏法酸液飞溅 Acid Splash。
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</si>
  <si>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利爪</t>
  </si>
  <si>
    <t>ﾠ屏息ﾠ</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</si>
  <si>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</si>
  <si>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</si>
  <si>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</si>
  <si>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</si>
  <si>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</si>
  <si>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</si>
  <si>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黑血治疗</t>
  </si>
  <si>
    <t>有限的心灵感应</t>
  </si>
  <si>
    <t>说服力</t>
  </si>
  <si>
    <t>心灵感应的洞察力</t>
  </si>
  <si>
    <t>当你在短休结束时掷出一个 1 或 2 的骰子时，你可以重新掷出这个骰子，并且必须使用新的骰子。</t>
  </si>
  <si>
    <t>你可以用心灵感应的方式和任何你能在 30 尺内看到的生物说话。你不需要与该生物共享一种语言，因为它能理解你的心灵感应，但它必须能理解至少一种语言。这个沟通的过程是缓慢和有限的，只允许你传输和接收简单的想法和直观的概念。</t>
  </si>
  <si>
    <t>你拥有游说的熟练。</t>
  </si>
  <si>
    <t>心灵感应的洞察力你的思想与周围世界的联系加强了你的意志。你在所有的感知和魅力豁免上都有优势。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</si>
  <si>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</si>
  <si>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</si>
  <si>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</si>
  <si>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</si>
  <si>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</si>
  <si>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</si>
  <si>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顶撞</t>
  </si>
  <si>
    <t>欢喜之跃</t>
  </si>
  <si>
    <t>贪欢者</t>
  </si>
  <si>
    <t>你可以使用你头与的双角进行徒手打击。当你使用它命中目标时，该打击造成1d6+力量调整值的钝击伤害，而非一次通常徒手打击的钝击伤害。</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</si>
  <si>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</si>
  <si>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</si>
  <si>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无声羽毛</t>
  </si>
  <si>
    <t>在微光光照下，你身边120尺内可以视为等同于明亮光照。而在黑暗中，该范围内可视为等同于微光光照。你无法在黑暗中分辨颜色，只能看到有灰度的黑白画面。</t>
  </si>
  <si>
    <t>得益于你的翅膀，你拥有等同于你步行速度的飞行速度。当你穿着中甲或重甲时，你无法使用该飞行速度。</t>
  </si>
  <si>
    <t>你拥有隐匿的技能熟练项。</t>
  </si>
  <si>
    <t>仙灵魔法</t>
  </si>
  <si>
    <t>你知晓德鲁伊伎俩 Druidcraft。从3级开始，你能用该特质施展妖火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</si>
  <si>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</si>
  <si>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野兔敏锐</t>
  </si>
  <si>
    <t>野兔感官</t>
  </si>
  <si>
    <t>幸运步法</t>
  </si>
  <si>
    <t>兔子跳</t>
  </si>
  <si>
    <t>你可以将你的熟练加值加入你的先攻数值。</t>
  </si>
  <si>
    <t>你拥有察觉技能的熟练项。</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</si>
  <si>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</si>
  <si>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</si>
  <si>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装甲外壳</t>
  </si>
  <si>
    <t>铸订成功</t>
  </si>
  <si>
    <t>可被再生构造</t>
  </si>
  <si>
    <t>机械本质</t>
  </si>
  <si>
    <t xml:space="preserve">你的身体有着由薄金属或其他的耐用材料制成的外壳。若你未穿着护甲，你的基础护甲等级变为 13+你的敏捷调整值。 </t>
  </si>
  <si>
    <t xml:space="preserve">进行攻击检定，属性检定，或豁免检定时，你可以在检定中加入一颗 d4。你能在看到d20骰值后。但该次检定的效应还没处理前再决定是否使用这一特质。
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</si>
  <si>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 和 维生术Spare the Dying。 </t>
  </si>
  <si>
    <t xml:space="preserve">你具有毒素伤害抗性，并免疫于疾病。你为防止陷入麻痹或中毒所做的豁免具有优势。你不需要吃、喝、呼吸。 </t>
  </si>
  <si>
    <t xml:space="preserve">当你进行长休时，你需要花费6小时处于一种静止的、非激活的状态，以代替睡眠。这种状态下，你会表现的十分迟缓，但不会失去意识。 </t>
  </si>
  <si>
    <t>你获得任意两项工具熟练项</t>
  </si>
  <si>
    <t>星界火花</t>
  </si>
  <si>
    <t>枪械精通</t>
  </si>
  <si>
    <t>河马体格</t>
  </si>
  <si>
    <t xml:space="preserve">你与星界位面的精神连接让你拥有一簇神力火花的神秘权能，并通过你的武器来引导之。当你使用简易或军用武器命中一个目标时，你能对目标额外造成等同于你熟练加值点的力场伤害。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 </t>
  </si>
  <si>
    <t xml:space="preserve">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 </t>
  </si>
  <si>
    <t>你在进行基于力量的属性检定与力量豁免时具有优势。此外，当决定你的载货量和推，拉，抬的重量时，你的体型视为比当前大一级。</t>
  </si>
  <si>
    <t>巧足</t>
  </si>
  <si>
    <t>滑翔</t>
  </si>
  <si>
    <t>鼯猴坚毅</t>
  </si>
  <si>
    <t xml:space="preserve">以一个附赠动作，你能用你的脚操纵一个物件、打开或关上一扇门或容器、或是捡起或放下一个微型物件。 </t>
  </si>
  <si>
    <t>当你从至少离地10尺的高度坠落时，你可以用你的反应展开你的翼膜，水平滑行一段等同于你步行速度的距离（其方向由你决定），本次摔落对你造成的伤害变为0。</t>
  </si>
  <si>
    <t xml:space="preserve">你血管中流淌的魔法增强了你的天生防御力。当你受到伤害时，你可以用反应投掷一枚d6。你受到的伤害减少 投掷结果+你的熟练加值 点（最低降至0） 。 
你能使用此特质次数等同于你的熟练加值，完成一次长休后，你重获全部已消耗的使用次数。 </t>
  </si>
  <si>
    <t>无定型体</t>
  </si>
  <si>
    <t>天生坚韧</t>
  </si>
  <si>
    <t>变化自身</t>
  </si>
  <si>
    <t xml:space="preserve">在微光光照下，你身边 60 尺内可以视为等同于明亮光照。而在黑暗中，该范围内可视为等同于微光光照。你无法在黑暗中分辨颜色，只能看到有灰度的黑白画面。 </t>
  </si>
  <si>
    <t xml:space="preserve">只要你没有携带或穿着任何东西，你就能跻身通过至多只有1寸宽的空间。你为发起或逃脱擒抱所进行的属性检定具有优势。 </t>
  </si>
  <si>
    <t xml:space="preserve">你能够屏住呼吸至多1个小时。 </t>
  </si>
  <si>
    <t xml:space="preserve">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</si>
  <si>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使用一个附赠动作，你能挤出一条伪肢，该伪肢至多 6 寸宽，10 尺长，或是将伪足吸收回你的身体里。作为该附赠动作的一部分，你能用这条伪肢操纵一个物件，打开或关闭一扇门或容器，或是捡起或放下一个微型物件。这条伪肢不具有感知器官，不能用来攻击、激活魔法物品，或是举起超过 10 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</si>
  <si>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</si>
  <si>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</si>
  <si>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</si>
  <si>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</si>
  <si>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以一个动作，你能改变你甲壳的颜色来与你身边环境的颜色与纹理相匹配，这让你在进行敏捷（隐匿）检定来在这些环境中躲藏时具有优势。 </t>
  </si>
  <si>
    <t xml:space="preserve">在你的两只主臂下，还拥有两只稍微小一些的副臂。这些副臂各能用于操纵一个物件、打开或关闭一扇门或容器、或是捡起或放下一个微型物件、或持用一把具有轻型属性的武器。 </t>
  </si>
  <si>
    <t xml:space="preserve">你不需要睡眠且能在长休期间保持清醒，但你仍然必须避免剧烈活动以获得休息的好处。 </t>
  </si>
  <si>
    <t>没有魔法的协助，你不能说你知晓的非斯里克林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</si>
  <si>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先祖传承</t>
  </si>
  <si>
    <t>不死本质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</si>
  <si>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</si>
  <si>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</si>
  <si>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</si>
  <si>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在微光中，你可以将周围60尺内视为明亮环境般视物，而在黑暗中，你可以将之视为微光环境般视物。在黑暗中，你将颜色辨识为不同深度的灰色。</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</si>
  <si>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</si>
  <si>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</si>
  <si>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武器。当你使用此啃咬发动攻击时，你将你的体质调整值而不是力量调整值加在攻击和伤害骰上。此啃咬在命中时造成1d4点穿刺伤害。当你失去一半或以上的生命值时，你在用此啃咬做出的攻击骰上有优势。
当你使用此啃咬攻击并命中一个并非构装生物或不死生物的生物时，你可以选择以下方式之一来强化你自己：
• 你恢复等同于此啃咬造成的穿刺伤害的生命值。
• 你在下一次你做出的属性检定或攻击骰上获得等同于此啃咬造成的穿刺伤害的加值。
你能够以此啃咬强化你自己的次数等同于你的熟练值，并且你在结束一次长休息时重新获得所有已消耗的次数。</t>
  </si>
  <si>
    <t>神秘信物</t>
  </si>
  <si>
    <t>心灵传讯</t>
  </si>
  <si>
    <t>遥远视野</t>
  </si>
  <si>
    <t>巫咒魔法</t>
  </si>
  <si>
    <t>以一个附赠动作，你可以无害地移除你的一缕头发，一片指甲，或者一颗牙齿。这信物被灌注了魔力，持续到你完成一次长休为止。当此信物被以此法灌注魔力时，你可以执行心灵传信Telepathic Message，遥远视野Remote Viewing或巫咒魔法Hex Magic。</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</si>
  <si>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</si>
  <si>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</si>
  <si>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self与脆弱诅咒hex。一旦你通过此特性使用了这些法术之一，你就不能再以这种方式施放该法术，直到你结束一次长休息。你也可以使用任意你拥有的法术位来施放这些法术。
智力、感知或魅力是你施放这些法术的关键属性（当你获得此血统时选择具体是哪一个属性）。</t>
  </si>
  <si>
    <t>往昔学识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</si>
  <si>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你不需要睡眠，且魔法无法让你睡眠。你可以花费4小时处于一种一动不动但保持知觉清醒的状态中，以此来完成长休息。</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</si>
  <si>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息时重新获得所有已消耗的次数。</t>
  </si>
  <si>
    <t>背景名称</t>
  </si>
  <si>
    <t>背景特殊选项</t>
  </si>
  <si>
    <t>侍僧</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</si>
  <si>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</si>
  <si>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你可以从附录B的表格中选择某名神祇、某个神系或其他类神存在，也可以直接由你的DM进行介绍选择。</t>
  </si>
  <si>
    <t>骗子</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</si>
  <si>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</si>
  <si>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</si>
  <si>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罪犯</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</si>
  <si>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</si>
  <si>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</si>
  <si>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密探</t>
  </si>
  <si>
    <t>艺人</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</si>
  <si>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</si>
  <si>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</si>
  <si>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角斗士</t>
  </si>
  <si>
    <t>平民英雄</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</si>
  <si>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</si>
  <si>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</si>
  <si>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公会工匠</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</si>
  <si>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</si>
  <si>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</si>
  <si>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公会商人</t>
  </si>
  <si>
    <t>隐士</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</si>
  <si>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</si>
  <si>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</si>
  <si>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贵族</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</si>
  <si>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</si>
  <si>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</si>
  <si>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骑士</t>
  </si>
  <si>
    <t>家仆 Retainers。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
其中一名听令的家仆将由一名为你服务的扈从代替，其对你的辅助将是其自身通往骑士之道的训练之一。你的另两名家仆可以包括一位照顾马匹的马夫，以及一名护理护甲的仆役（也可以帮你着装）。作为骑士精神的象征和骑士之爱的典范，你或许会在装备上装置旗帜以代表某个你宣誓效忠的贵族阁下——代表一种纯粹的奉献（奉献的对象可以作为你的牵绊。）</t>
  </si>
  <si>
    <t>化外之民</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</si>
  <si>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</si>
  <si>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</si>
  <si>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智者</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</si>
  <si>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</si>
  <si>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</si>
  <si>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水手</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</si>
  <si>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</si>
  <si>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</si>
  <si>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海盗</t>
  </si>
  <si>
    <t>士兵</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</si>
  <si>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</si>
  <si>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</si>
  <si>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流浪儿</t>
  </si>
  <si>
    <t>城中秘密CitySecrets。你熟知城市中的秘密小路和胡同，能够在其他人容易迷失的混乱街区中寻路。如果你们并非身处战斗状态，则你还可以在市区内引导同伴以两倍的平时速度在两个地点间穿行。</t>
  </si>
  <si>
    <t>你在开始冒险生涯时，身上带着一笔钱可以让你过上十几天简朴水平的安稳生活。你是如何得到这笔钱的？是什么力量让你能够冲破绝望的生活环境，尝试得到更好的生活？</t>
  </si>
  <si>
    <t>城市守卫</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</si>
  <si>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</si>
  <si>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变体：调查员
Variant: Investigator
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
建议特征Suggested Characteristics
使用《玩家手册》中“士兵”的特征表格作为你的基础特征和动机，并在适当的时候修改条目以让其符合你作为城市守卫的身份。
    你的羁绊可能会关联于你城市守卫的同袍们、或是守卫组织本身，且几乎确定会与你所在的社会有关。你的理念可能会包括促进和平与安全。而一名调查员则可能会有着与借由破案来实现正义有关的理念。</t>
  </si>
  <si>
    <t>氏族工匠</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</si>
  <si>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</si>
  <si>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建议特征Suggested Characteristics 
使用《玩家手册》中“公会工匠”的特征表格作为你的基础特征和动机，并在适当的时候修改条目以让其符合你作为氏族工匠的身份。（例如考虑把“公会”和“氏族”两个词 互换一下）
    你的羁绊几乎确定会关联于教导你技艺的师傅或氏族、或与你所从事的工作有关。你的理念可能会与维持高品质的工作成果或保存矮人的传统工艺有关。</t>
  </si>
  <si>
    <t>隐修学者</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</si>
  <si>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</si>
  <si>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r>
      <rPr>
        <sz val="11"/>
        <color theme="1"/>
        <rFont val="宋体"/>
        <charset val="134"/>
        <scheme val="minor"/>
      </rPr>
      <t>建议特征Suggested Characteristics 
使用 《玩家手册》中“智者”的特征表格作为你的基础特征和动机，并在适当的时候修改条目以让其符合你作为学者的身份。
    你的羁绊几乎确定会关联于成长的场所、或是你希望在冒险过程中获得的知识。你的理念无疑会与你看待对知识和真理的追求有关</t>
    </r>
    <r>
      <rPr>
        <sz val="11"/>
        <color theme="1"/>
        <rFont val="Microsoft JhengHei"/>
        <family val="2"/>
      </rPr>
      <t>──也许这本身就是个具有价值的目标，又或者它只不过是通往理想目标的一种手段。</t>
    </r>
  </si>
  <si>
    <t>朝臣</t>
  </si>
  <si>
    <t>官员CourtFunctionary。你掌握的官场运作知识，让你在面对任何贵族宫廷或政府时得以从中获取情报并窥见其内部操作。你了解是谁在进行幕后操纵，知道应该寻求何人支持，还清楚这些组织当前正感兴趣的阴谋。</t>
  </si>
  <si>
    <t>建议特征 Suggested Characteristics 
使用《玩家手册》中“公会工匠”的特征表格作为你的基础特征和动机，并在适当的时候修改条目以让其符合你作为朝臣的身份。
你开始工作时所在的贵族政议院或官僚机构会直接或间接的关联于你的羁绊（可能会与组织中的某个人物有关，像是你的教父或导师）。你的理念可能会与你政议院或组织中主流的哲学思想有关。</t>
  </si>
  <si>
    <t>派系特工</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</si>
  <si>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</si>
  <si>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 xml:space="preserve">剑湾中的组织
Factions of the Sword Coast
由于在北地缺乏大型集中政权的政府，在剑湾这片土地上分布着许许多多和剑湾政治阴谋有着密切关联的隐秘组织。如果你的背景是一名北地主要组织的代理人的话，以下介绍可能对你有所帮助。
竖琴手联盟The Harper。 自成立多年以来，竖琴手联盟经历了多次的解散和重组，如今他们仍旧是一个有着强大实力的幕后组织，他们喜欢更多的通过公理和知识来阻止邪恶的行为，而不是运用暴力。竖琴手表通常熟练于调查（Investigation），这让他们能够熟练的进行窃听，间谍活动。他们通常会向其他竖琴手，共同理念的吟游诗人，旅店老板，游侠和与竖琴手联盟相同理念的神的神职人员寻求援助。
铁手套教团The Order of the Gauntlet。 作为费伦大陆上一个新起的力量，铁手套教团有着和竖琴手联盟相似的理念。然而他们的方式截然不同：铁手套的教义是作为神圣的战士在寻求真理的道路上摧毁邪恶，倡导公正，他们从来不会将自己隐藏在阴影之下。教团成员们熟练于 宗教（ Religion），且通常会向与他们理念相同的执法部门，或是教员们信仰的神的神职人员们寻求援助。
翠绿闲庭 the Emerald Enclave。 保持自然秩序的平衡和对抗破坏这种平衡的力量，这是翠绿闲庭的两个目标。这个组织中的人员通常是野外生存大师，并且以这片土地为生。他们通常熟练于自然（Nature）技能，当他们遇到困难时，会从树人，猎人，游侠，野蛮人部落，德鲁伊集舍和信奉自然之神的神职人员那里寻求帮助。
领主联盟 The Lords` Alliance。 在某种程度上说，领主联盟的代理人们就代表了所在的城市，还有构成联盟的国家和政府。但是作为一个关切集体利益的联合组织，它跨越在本地政治和地理领土之上，领主联盟通过工作在各个联盟城市内的工作人员的日常工作，架设起了自己独有的组织结构。一个联盟代理人需要对历史（History）知识有深厚的了解，在他们遇到困难时，会向所属联盟的政府，还有其他支持联盟理念的领导人和组织寻求帮助。
散塔林会 The Zhentarim。 近年来，散塔林会通过改善它们在普通人中的名声，成为世界上最显眼的一个组织。这个组织吸收来自各行各业的工作人员和合作者，让他们以达成以暗黑情报网目标为任务进行工作，但在本质上并不需要进行犯罪。暗黑情报网人员通常秘密的进行工作，并且非常熟练于 欺诈（ Deception）。他们会从法师，雇佣兵，商人和与散塔林会结盟的神职人员那寻求帮助。 </t>
  </si>
  <si>
    <t>为何来此？
Why Are You Here?
一名远行者可能会因多种多样的原因而踏上旅程，且他或她离开故土的缘由可能是自愿或者非自愿的。从下表中投掷或者自行选择一个原因决定你为何远离家乡。下方的章节阐述了你可能的家乡，其中包含了每个地点建议的离开原因。
 D6
  原因 
 1  密使 
 2  流放者 
 3  逃亡者 
 4  朝圣者 
 5  游客 
 6  流浪汉 
从何而来？
Where Are You From?
创建一个远行者背景最重要的决定是确定你的故乡在哪。这里有一些离北地和剑湾足够远的地方可以作为你的故乡参考。
永聚岛Evermeet。 在遥远的西方的岛屿，它是那些从未到过费伦大陆的精灵们的故乡。当精灵们来到费伦大陆时，他们通常会觉得这里是比他们预期更加严酷的地方。如果你是一名精灵，永聚岛是一个作为你故乡的比较合理的选择（尽管这不是必须的）
大多数从永聚岛上移民出去的人们要么是犯下精灵法则被迫流放离开的，或者要么就是作为使节抱着为精灵的文化和社会带来更大利益的目的前往费伦大陆。
哈鲁阿Halruaa。 位于光耀之海的南部边缘，群山环绕处坐落著法师之国哈鲁阿。众所周知，哈鲁阿的法师议会是费伦大陆中一片最神奇的地方。许多人都听说在哈鲁阿有着奇怪的天空之船，船帆上有着哈鲁阿的标记，此外也有很少部分人传闻在哈鲁阿即使是小孩都可以施展法术。
哈鲁阿人通常是因为自己个人的原因在费伦大陆上旅行，由于它们的政府严格反对人民未经许可参与到其他的国家组织或政治中，你可能会是一个违反了哈鲁阿许多错综复杂的法律而被流放的人，亦或者也可以是一个寻找魔法之神圣地的朝圣者。
卡拉图Kara-Tur。 在费伦大陆遥远的东方，坐落着卡拉图大陆，上面的居民有着与剑湾人民完全不同的风俗习惯。如果你是来自卡拉图，费伦的人民可能会称你为Shou，即使这不是你真正的种族，因为这是他们称呼你和与你有着相同起源的人们的统称术语。
卡拉图人偶尔会作为外交官或是为了和其他贸易联盟建立起贸易关系而旅行至费伦大陆。你作为一些这样的代表团中的一员来到了费伦，并且在任务结束之后决定留下来。
穆罕瑞德Mulhorand。 穆罕瑞德是费伦大陆上残存的古老帝国之一，几千年来都由神祇的转生体神王直接统治。几乎所有关于穆罕瑞德的风俗习惯都与剑湾大不相同。离开沙漠来到完全陌生的费伦北地的你可能会受到不小的文化差异冲击。不过最近一件发生在你故乡的事件是穆罕瑞德已经废除了奴隶制度并相应增加与其他各地之间的交通。
那些离开穆罕瑞德闷热沙漠和古老金字塔的人们可能会出于很多种原因。你可能会来到北地仅仅是因为满足看看这个潮湿土地提供的陌生感，亦或者你在沙漠之中有着太多的敌人存在。
索萨尔Sossal。很少人听说过你的故乡，但是很多人会在遇见你之后询问你故乡的事情。来自索萨尔的人像是从雪中精心制作的艺术品一样，有着光洁的皮肤和雪白的头发，并穿着白色的衣服。
索萨尔离北地非常遥远，在它的北面是没有止境的冰川，在它的另一侧则是延绵数百里的大冰川和大冰海。没有一个人不是由于某种确信的原因跨越如此巨大的障碍而离开索萨尔，也许是你恐惧冰川中某些真正可怕之物，或是为了寻找某些非常重要的东西。
札卡拉Zakhara。对于费伦大陆中知道这个地方的人都有句俗话,“要去扎卡拉，你要往南走，然后在往更南走。”当然，你从你的故乡来到北地也是沿着相同的路从南方而来。虽然在扎卡拉，和费伦大陆最南端进行贸易活动也是非常罕见的，但也有一些扎卡拉人会流浪远离他们的家乡。
你可能是为了发现在你家乡沙漠和剑型山脉之外的奇迹之地，或者也许你是一个为了能够更好的了解你信仰的上神而前往其他地方朝圣的朝圣者。
幽暗地域The Underdark。尽管你在地理位置上比其他上述的偏远之地更接近于剑湾，但是它却也是一片远离剑湾的地方。你来自许多处幽暗地域的定居点中的一个，其中每个定居点都有它自己奇怪的习俗和法律。如果你土生土长在幽暗地域中的一座地下城市或是定居点，你可能是占领此处的种族中的一员，亦或者是被俘虏后在这里生活，也可能是在你还是孩子的时候被带到了这里，现在已经在此地长大成人。
如果你是一个真正的幽暗地域人，你可能是为了作为你们族人的使节，亦或是为了摆脱被指控的犯罪行为（不管是否为莫须有）而来到地表。如果你不是本地人，你的原因可能是与摆脱现在糟糕的处境而离“家”出走。</t>
  </si>
  <si>
    <t>继承者</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</si>
  <si>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</si>
  <si>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建议特征Suggested Characteristics
使用 《玩家手册》中“平民英雄”的特征表格作为你的基础特征和动机，并在适当的时候修改条目以让其符合你作为继承者的身份。
你的羁绊可能会与你的继承物直接相关，或可能会是你从之接收到继承物的某人。你的理念可能会受到你对继承物了解的影响，或可能被在你所得到赠礼所能做到的事给影响。</t>
  </si>
  <si>
    <t>教团骑士</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</si>
  <si>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</si>
  <si>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费伦的骑士团 Knightly Orders of Faerun
独角兽骑士Knights of the Unicorn.
独角兽骑士一开始是由博德之门官僚家族的子女们对自由浪漫的追寻一时兴起而建立的教团。他们将独角兽女神拉芮Lurue作为他们的幸运神，骑马闯荡为了乐趣而冒险。用拉芮女神的原则来面对会出现的危险。随着时间的推移，这个小群体逐渐增长和传播开来，获得了甚至远自科米尔地区的人们追随。独角兽骑士们是有着骑士精神的冒险家，追随浪漫的理想：生活是多姿多彩的，生活是应该充满欢笑的，挑战并完成任务，追寻不可能的梦想，所有人都应该为他们的力量而获得赞美，为他们的弱点而获得安慰。
密斯卓诺骑士Knights of Myth Drannor.
很久以前，密斯卓诺骑士团是一个非常有名的冒险团队，多芙·鹰手，著名的七姐妹中的一人就是其中的一员。这个过去式的团队是为了纪念曾经伟大但是陷落的城市而命名的，如今新建立的密斯卓诺骑士团也是如此。当这座城市再一次变为废墟时，多芙·鹰手决定要改革这个团体，把主要目标定为与世界上其他文明种族建立盟友关系，和善良的人们共同对抗邪恶。现在密斯卓诺骑士们再次骑行在谷地的大路上，他们已经开始向谷地之外的土地传播自己的理念，招收新人。每一个被多芙接纳成为骑士团一员的人，都是充满了勇气和忠诚之人。
圣杯骑士Knights of the Silver Chalice.
圣杯骑士团在一个世纪以前由半神赛雅茉芙（Siamorphe）颁布法令而成立。赛雅茉芙的精神是高贵的权利并有责任去执行它。这个半神通常每一代都会化身成不同的凡人贵族。</t>
  </si>
  <si>
    <t>老佣兵</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</si>
  <si>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</si>
  <si>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北地的佣兵团 Mercenaries of the North
无数佣兵团在剑湾和北地各处来回。其中大多是小规模行动，比如雇佣十几人至上百人以提供安保服务，狩猎怪物和土匪，或是为换得黄金而发动战争。一些组织如“散塔林会”“焰拳 FlamingFist”和“明檀 Mintarn”的本国都保有成百上千的成员供他人以足够资金雇佣为私人军队。下面介绍一些在北地运作的相关组织。
寒爪 The Chill 。 
寒冷而神秘的“潜行森林 Lurkwood”是无数的类地精团体的家园，它们联合起来组成一个叫“寒爪 the Chill”的部落。跟大多数同类不一样，寒爪兵团并不会去袭击北地的居民，反而与之保持相对良好的关系，以此让对方雇佣自己作战。北地的各城邦很少会让自建的军队与寒爪并肩作战，但其中的几个国家会轻松愉快的付钱雇寒爪去对抗永恒荒野 Evermoors 的乌斯伽人 Uthgardt、兽人和巨魔，乃至其他威胁自己的文明。
静雨 Silent Rain 。 
全员由精灵组成的静雨，是个从艾弗瑞思卡 Evereska 内运营的传奇雇佣兵团。静雨不关心金子或名声，他们只接受促进精灵事业或摧毁兽人、豺狼人之类生物的工作。发出委托的雇主必须先在艾弗瑞斯卡附近留下书面文本（以精灵语撰写），如果静雨兵团对委托有意，就会派出一名代表与对方接触。
血斧 Bloodaxes 。
 约两个世纪前在桑达巴 Sundabar 建立的血斧最初只是一群因违反“铸魂者摩拉丁 Moradin Soulforger”其教义，而获罪被逐出自己氏族的矮人。于是他们开始以雇佣兵的方式为任何付得起钱的北地人服务。自那以后，该佣兵团开始接纳其他种族作自家成员，但其中的人或多或少都身为流亡者、罪犯或被排挤的异类，而他们最终都会将血斧当做自己新的开始和新的家园。</t>
  </si>
  <si>
    <t>城市猎人</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</si>
  <si>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</si>
  <si>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建议特征 Suggested Characteristics
使用 《玩家手册》 中“罪犯”的特征表格作为你的基础特征和动机，并在适当的时候修改条目以让其符合你作为城市猎人的身份。
例如，你的牵绊可能与其他赏金猎人或某雇佣你的组织或个人相关。你的理想可能与你抓捕目标猎物的决心相关，或是与你获得可靠名声的渴望相关。</t>
  </si>
  <si>
    <t>乌斯伽部族成员</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</si>
  <si>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</si>
  <si>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建议特征 Suggested Characteristics
使用 《玩家手册》中“化外之民”的特征表格作为你的基础特征和动机，并在适当的时候修改条目以让其符合你作为乌斯伽部族成员的身份。
即使已经离开了自己的部族（至少现在是这样），但你仍坚持以同胞的传统过活。你绝不会砍下一棵仍活着的树，且不会不赞同相同的事在眼前发生。乌斯伽人的“祖丘 ancestral mounds”——作为乌斯伽保护其图腾精魂所在，以及部族各英雄埋葬之处的大丘陵，被你视为神圣之地。
你的牵绊很可能与你的部族或某些乌斯伽人的哲念或文化相关（甚至可能与乌斯伽自身相关）。你的理想是个人的选择，它可能与你同胞的风土人情密切相关，当然也不会与你身为乌斯伽人所代表的其他东西相违背或妥协。
费伦的野蛮人部族 Barbarian Tribes of Faerun
虽然本节只介绍了乌斯伽民族，但其内容以及 《玩家手册》的“化外之民”背景都可用于源自其他费伦野蛮人部族的角色。你可以是个一头金发的瑞格 Reghed 野蛮人，住在远离北地靠近“冰风谷 lcewind Dale”的“瑞格冰川 Reghed Glacier”阴影之下。你也可以是因野蛮狂战士和戴着面具巫婆而出名的莱瑟曼Rashmi 游牧民。你也许来自“琼达尔森林 Chondalwood”的某个木精灵部族，或是来自楚尔特 Chult 闷热丛林里的某个充满魔法的人类部族中。</t>
  </si>
  <si>
    <t>深水人贵族</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</si>
  <si>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</si>
  <si>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建议特征 Suggested Characteristics
使用 《玩家手册》 中“贵族”的特征表格作为你的基础特征和动机，并在适当的时候修改条目以让其符合你作为深水城贵族的身份。
和其他贵族一样，你出生和成长的世界与大多数人的认知不同——这是种给予你特权，但同时也要求你履行相应义务的身份。你的牵绊可能与所属家族相关，也可能与另一个与所属家族同盟或敌对的贵族家族相关。你的理想某种程度上取决于你如何看待自己在家庭中的角色，以及你打算如何在世上表现你作为家族代表的身份。</t>
  </si>
  <si>
    <t>俄佐立官员</t>
  </si>
  <si>
    <t>法律权威Legal Authority。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</si>
  <si>
    <t>俄佐立公会法术
前置要求：施法能力或契约魔法职业特性
你可以将俄佐立公会法术表中的法术添加到你的法术列表中。（如果你的角色是兼职角色且拥有多个法术表，将这些法术添加到所有法术表当中）
戏法：交友术，传讯术
1环：命令术，诱捕打击
2环：秘法锁，安定心神，人类定身术
3环：鹰眼术，法术反制
4环：强迫术，预言术
5环：支配人类
你的法术通常表现为蓝色或者金色的符文的形式，在空中形成圆形图案或是闪烁的天蓝色屏障。例如，当你释放诱捕打击时，该法术会创造出数条闪光的符文光环——而不是多刺藤蔓——束缚你的目标。</t>
  </si>
  <si>
    <t>波洛斯军团兵</t>
  </si>
  <si>
    <t>特性：波洛斯据点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t>
  </si>
  <si>
    <t>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
你的魔法大多表现为迸发的火焰或夺目的光辉。当你对你的友军释放增益法术时，他们会被明亮的火焰光环所环绕。</t>
  </si>
  <si>
    <t>底密尔特务</t>
  </si>
  <si>
    <t>虚假身份False Identity。你拥有多个身份，你大多数时间里披着的外衣让你看起来似乎是底密尔之外的其他公会的一名成员。你具有的文件，人际关系和伪装让你能够担任这个角色并融入到你的第二个公会里。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D8   渗透原因
1    我的父母属于这个公会，而我想要让他们认为我依旧跟随着他们的道路。
2    我被指派追踪这个公会的行动。
3    我被指派接近这个公会里的一个人来获取他们的秘密。
4    我被指派从这个公会的阶层中新招募一位底密尔间谍。
5    在底密尔招募我之前我就是这个公会的成员。
6    我不喜欢这个公会所代表的一切并想从内部毁灭它。
7    我私底下希望能离开底密尔并加入这个公会，但是在底密尔，没有“逃离”这个词。
8    我只是随便选了一个公会或者根本没想过为什么。</t>
  </si>
  <si>
    <t>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Eye、自由行动Freedom of Movement
5环：修改记忆Modify Memory
你的魔法永远是微妙而无法察觉的，但是当你施展法术时会在你身边聚集起暗影或云雾。使用下面描述的戏法：思想编码Encode Thoughts，你能将一个生物（包括你自己）的思想转变为其他人可以读取、分享或盗取的思想链。这些思想链在底密尔被视为被视为有价值的货币。</t>
  </si>
  <si>
    <t>葛加理成员</t>
  </si>
  <si>
    <t xml:space="preserve">地底城通路Undercity Paths。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t>
  </si>
  <si>
    <t>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戏法：舞光术，维生术
一环：纠缠术，致病射线
二环：防护毒素，衰弱射线，蛛行术
三环：活化死尸，植物滋长
四环：巨虫术， 攫人藤蔓
五环：死云术， 疫病虫群 
葛加理的法术通常都伴随着病态的绿光和腐朽的恶臭。</t>
  </si>
  <si>
    <t>古鲁反抗者</t>
  </si>
  <si>
    <t>瓦砾区难民Rubblebelt Refuge。你十分熟悉那些城市中大多数人通常会回避的区域：亚龙暴乱导致荒废的临近街区，数十年中从未有人照料导致过度生长的公园，文明种族废弃长久的，广阔的，不断蔓延的，充斥着破碎地形的瓦砾区。你可以
找到一个适合你和你队友的地方来隐藏或休息在这些区域。额外的，你每天可以在这些区域为你自己和至多五个人找到食物和新鲜的水源。</t>
  </si>
  <si>
    <t>古鲁公会法术
先决条件：施法职业或契约魔法专长
对你而言，古鲁公会魔法表中的法术将加入到你的施法职业法术列表中。（如果你有兼职职业拥有法术列
表，这些法术也将全部加入该法术列表。）
——————————————————————————————————————————
   古鲁公会法术   |      spells
——————————————————————————————————————————
   戏法      |   火焰箭，燃火术
——————————————————————————————————————————
   1环      |   强令对决，动物交谈，雷鸣波
——————————————————————————————————————————
   2环      |   野兽直觉，粉碎音波
——————————————————————————————————————————
   3环      |   召唤动物，召唤箭雨
——————————————————————————————————————————
   4环      |   支配野兽，石肤术
——————————————————————————————————————————
   5环      |   湮灭波
  5环      |   湮灭波
——————————————————————————————————————————
由你心中无尽愤怒所燃烧的火焰助燃，你的魔法几乎总是伴随着燃烧的效果，例如火光在你眼中闪烁，烈
焰在你手中起舞。</t>
  </si>
  <si>
    <t>伊捷工程师</t>
  </si>
  <si>
    <t>城市基建Urban Infrastructure。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</si>
  <si>
    <t>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4环：召唤次级元素生物Conjure Minor Elementals、预言术Divination、欧提路克弹力法球Otiluke's resilient sphere
5环：活化物品Animate Objects、召唤元素生物Conjure Elemental
你的法术即使其效果实际上并不明显，往往也是十分响亮的、耀眼的或具有爆炸性的。例如，当您打开魔绳术法术的入口时，该入口的轮廓可能是由无害的艳丽的火花构成的。
如果你需要使用奥术法器，它可能是一种包括金属护手，玻璃气罐，黄铜导管和用来固定在你身上的皮革背带在内的一套复杂装置。在第5章中描述的米捷装置Mizzium Apparatus是这种装置的魔法物品版本。
混乱箭法术因为其不可预测的性质成为了伊捷施法者的最爱。</t>
  </si>
  <si>
    <t>欧佐夫议员</t>
  </si>
  <si>
    <t xml:space="preserve">利用 Leverage。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t>
  </si>
  <si>
    <t>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
你的魔法往往表现为旋转的阴影、灿烂的光芒，有时也表现为幽灵形态的短暂出现。你的咒语可能会吸敌人的血，甚至直接触及他们的灵魂。</t>
  </si>
  <si>
    <t>拉铎斯邪教徒</t>
  </si>
  <si>
    <t>劣迹昭著Fearsome Reputation。
人们把你定义为拉铎斯的信徒，他们小心翼翼的，来不引起你的怒火或嘲弄。如果没有被法律权威目击，你可以不受轻微犯罪的影响，比如在餐馆拒绝付餐费，或者在当地商店破门而入。大多数人被你吓得不敢向俄佐立人报告你的罪行。</t>
  </si>
  <si>
    <t>拉铎斯教派法术
先决条件：施法职业或契约魔法专长
对你而言，拉铎斯教派魔法表中的法术将加入到你的施法职业法术列表中。（如果你有兼职职业拥有法术列表，这些法术
也将全部加入该法术列表。）
——————————————————————————————————————————————————
   法术等级   |　　　　 法术
——————————————————————————————————————————————————
   戏法   |   火焰箭，恶言相加
——————————————————————————————————————————————————
   1级   |   燃烧之手，不谐低语，炼狱叱喝
——————————————————————————————————————————————————
   2级   |   疯狂冠冕，注目术，炽焰法球
——————————————————————————————————————————————————
   3级   |   恐惧术，加速术
——————————————————————————————————————————————————
   4级   |   困惑术，火墙术
——————————————————————————————————————————————————
   5级   |   支配人类
——————————————————————————————————————————————————
你的魔法通常会产生一种闪光效果，将你或你的目标包围在无害的火焰和阴影之中。当你操纵对手的思想时，一个燃烧着的
拉铎斯符号可能会暂时出现在目标的脸上，就像一个面具。</t>
  </si>
  <si>
    <t>瑟雷尼亚祀徒</t>
  </si>
  <si>
    <t>盟会庇护所Conclave's Shelter。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</si>
  <si>
    <t>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1环：化兽为友，魅惑人类
2环：援助术，动物信使，安定心神，守护之链
3环：植物滋长，植物交谈
4环：生命灵光，召唤次级元素生物
5环：启蒙术，问道自然
瑟雷尼亚成员称他们的魔法为“doruvati”，是木族语中“礼物”的意思。当你使用这些太瑟雷尼亚的赠礼时，你的周围可能会出现优美的绿色和银色漩涡在空气中舞蹈，幻影般的绿叶在空中飘荡。你的法术同时可能会伴随着如沐春风的感觉以及春天的鲜花或是秋天的落叶的气味。</t>
  </si>
  <si>
    <t>析米克科学家</t>
  </si>
  <si>
    <t>研究者Researcher。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</si>
  <si>
    <t>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变身术，强化属性，变巨/缩小术
3环      气化形体，水中呼吸，风墙术
4环      行动自如，变形术
5环      造物术
当你的魔法使你自己或他人的身体发生变化时，结果往往显示出鱼、两栖动物或其他水生生物的特征。有时伴随着你的施法，会产生带有魔法能量的蓝绿色漩涡，其反映了自然精确完美的螺旋。</t>
  </si>
  <si>
    <t>家族代理人</t>
  </si>
  <si>
    <t>家族背景House Connections。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</si>
  <si>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职责
你总是在为你的家族收集信息。但当男爵们为了特殊的任务前来找你时，你通常在干什么工作呢？通过选择或掷骰从下表中决定你的职责。
表格：职责
d8
1 采购
2 调查 
3 研发
4 安保
5 恐吓
6 探索
7 谈判
8 地下活动</t>
  </si>
  <si>
    <t>名人冒险家的子孙</t>
  </si>
  <si>
    <t>攀亲带故Name Dropping。你知道，也见过各地许多有权势的人 — 其中一些人甚至可能还记得你。 你也许能从战役中的主要人物那里争取到一些次要的帮助，这是由 DM 决定的。 此外，普通人对你很尊重， 你的血缘和你讲的故事可能是免费的一顿饭或一个睡觉的地方。</t>
  </si>
  <si>
    <t>建议的特征 Suggested Characteristics
明星冒险家的后代必需面对不属于他们的名声，他们没有挣到的财富，以及他们永远不可能实现的期望。这些困难可能会产生负面影响，但那些能够克服它们的人可以获得一种体面的态度和一种脚踏实地的世界观。那些失败的人变得更加痛苦，甚至更糟。</t>
  </si>
  <si>
    <t>失败商人</t>
  </si>
  <si>
    <t>供应链Supply Chain。从你作为一个商人的时候起，你就与批发商、供应商以及其他商人和企业家保持着联系。 您可以在查找物品或信息时调用这些联系。</t>
  </si>
  <si>
    <t>建议的特征 Suggested Characteristics
作为一名商人，要有数字头脑、坚强的个性、与敌对对手达成交易的能力、打击强盗的强大剑锋，以及知道人们想要什么和需要什么的直觉。商业的艺术是寻找最佳盈利途径的艺术，而这条途径可能因每笔交易而异。成功需要坚强的意志和坚强的意志。那你为什么失败呢?</t>
  </si>
  <si>
    <t>赌徒</t>
  </si>
  <si>
    <t>永远不要告诉我赔率Never Tell Me the Odds。胜算和概率是你的谋生之道。 在休整日活动中，包括机会游戏或计算最佳计划的赔率，您可以得到一个可靠的感觉，哪些选择可能是最好的，哪些机会似乎太好而不真实，由 DM 的决定。</t>
  </si>
  <si>
    <t>建议的特征 Suggested Characteristics
有些人是出于必要而赌博。其他人这样做是出于无聊。还有一些人沉迷于运气好的时候赢得或失去一切的刺激。对一些人来说，赌博不是机会的问题，而是为了确保结果而寻求每一个优势的问题。最好的赌徒可能会输掉一切，而最差的赌徒有时会赢。无论如何，你总能从赌徒的眼神中看出他们是谁。幸运女神总是缠着他们。</t>
  </si>
  <si>
    <t>起诉人</t>
  </si>
  <si>
    <t>法律术语Legalese。你在当地法律制度方面的经验使你对该制度的来龙去脉有了牢固的认识。即使法律不站在你这一边，你也可以使用一些复杂的术语，比如 ex juria jus non oritur (权利不能来自违法行为。)和 cogitationis poenam nemo patitur (任何人不因仅有意图而受处罚。)，来吓唬人们，让他们以为你知道自己在说什么。 对于那些不了解的普通人，你可能会通过威吓或欺瞒来获得帮助或特殊待遇。</t>
  </si>
  <si>
    <t>建议的特征 Suggested Characteristics
原告有很多种。有些人是无辜的旁观者，他们只想得到公平的伤害赔偿。还有一些人是专业的法庭操作人员，为了获得巨额赔偿，他们竭尽全力装出一副被冤枉的样子。</t>
  </si>
  <si>
    <t>竞争对手实习生</t>
  </si>
  <si>
    <t>内部线人Inside Informant。你和你以前的雇主或你以前工作中接触过的其他团体有联系。您可以与您的联系人通信，获取信息的 DM 的自由裁量权。</t>
  </si>
  <si>
    <t>建议的特征 Suggested Characteristics
如果你对之前的实习感到满意，那么这次的分手可能是友好的。如果没有，可能是武装警卫把你从房子里带走了。如果你在上一份工作中被忽略，你可能会感到愤怒、习惯性的冷漠，以及对尸体埋葬地点的敏锐认知(也许是字面意思)交织在一起。</t>
  </si>
  <si>
    <t>自由斗士（笑面人）</t>
  </si>
  <si>
    <t>傻笑歌谣Ballad of the Grinning Fool。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</si>
  <si>
    <t>偏好乐曲 Favorite Code-Song
每位金色笑脸的同志都会在旅途中学习几首民歌，并能够利用这些歌曲传递秘密代码或在危险时警告其他同伴，选择一首偏好乐曲，或者掷骰随机决定。
偏好乐曲
d6 曲目
1 赞斯归来：一首描绘正直统治者终将出现的充满希望的塔尔多雷民谣，可以用来寻找潜在的盟友
2 大火烧遍海岸：一首讲述炸沉海盗船的喧闹的克洛维斯联会战斗小调，可以用来激励战斗
3 嘘！前方有龙：一首回忆红龙“灰烬王”入侵后恐怖日子的塔尔多雷民歌，可以用来提醒谨言慎行
4 让剑生锈吧：一首传唱故事已无法确定的反战的马奎特颂歌，可以用来平息暴力冲突
5 李哥继续喝：一首嘲笑喝高的少年们在断片后偷渡上船的集会海岸轮舞曲，可以用来劝告在交际时保持清醒
6 翡翠火焰的挽歌：一首据称包含众多晦涩诗句的精灵歌曲，可以用前两节来传播死亡或失败的信息</t>
  </si>
  <si>
    <t>沃什塔克特工</t>
  </si>
  <si>
    <t>影子网络Shadow Network。你可以通过使用影子网络与其他成员进行远距离的通信，如果你用一种特殊的奥术墨水书写信件和地址，并将信投入火中，它将会在烧尽后直接出现在收件特工的身上。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</si>
  <si>
    <t>悲剧 Tragedy
沃什塔克特工从不招募幸福的人，三头犬密会只会选择那些被灾难毁掉人生的天才（有时甚至还会指使沃什塔克主动制造一些人的灾难），因为他们认为只有心碎的人才更易于被洗脑。选择一项悲剧，或者掷骰随机决定。
悲剧
d6 悲剧
1 弑亲：通过欺骗或操纵，沃什塔克让你杀害了自己的至亲。
2 失忆：你被迫学习有害身心的魔法，以致在走火入魔之后失去了过去的记忆。
3 被俘：你被克灵王朝俘虏并残遭折磨，勉强才逃了出来。
4 饥荒：一场使植物全部枯萎的可怕疫病席卷了你的家乡，你的亲人朋友大多没有活下来，你也仅仅是勉强没有饿死。
5 毁容：你的样貌在一场出了大错的复杂实验中遭到了严重的伤害，在那之后，除了沃什塔克之外的其他人都对你避之不及。
6 变故：你原本是个富家子弟，但仿佛一刹那间，家里就已经破产了。</t>
  </si>
  <si>
    <t>胜利的回声Echoes of Victory 。你已经在曾经主办你的运动胜利的地区赢得了观众、运动员和教练的钦佩。当你访问离你长大的地方100英里以内的任何居民点时，你有50%的机会在那里找到仰慕你、愿意提供信息或临时住所的人。</t>
  </si>
  <si>
    <t>偏爱项目 Favored Event
虽然许多运动员参加各种比赛和项目，但大多数人在单一的竞赛形式中表现出色。投骰或从偏爱的项目表选择一项，以确定你擅长的运动项目。
偏爱项目Favored Event
d8   Favored Event
1   马拉松 Marathon 
2   长跑 Long-distance running 
3   摔跤 Wrestling
4   拳击 Boxing 
5   战车或赛马 Chariot or horse race 
6   潘克拉辛（混合徒手格斗）Pankration (mixed unarmed combat)
7   武装竞走（每个单位身穿全身护甲参加竞赛）Hoplite race (racing in full armor with a unit)
8   五项全能运动（跑步，跳远，掷铁饼，掷标枪，摔跤）Pentathlon (running, long jump, discus, javelin, wrestling)</t>
  </si>
  <si>
    <t>噩梦缠身</t>
  </si>
  <si>
    <t>黑暗之心Heart of Darkness。那些注视你双眼的人，会发现你曾直面超出想象的恐怖，你已经熟知黑暗。尽管普通人会对你心生畏惧，但他们依然会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</si>
  <si>
    <t>悲惨事件 Harrowing Event
在成为冒险者前，某个黑暗的时刻、某个宿命般的决定或者某个悲剧决定了你人生的走向。现在，你能感觉到黑暗正虎视眈眈，想要将你吞噬殆尽，而你觉得自己恐怕插翅难逃。选择一个你挥之不去的悲惨事件，或者根据悲惨事件表投骰决定。
d10  事件
1  一只怪物屠杀了许多无辜之人，唯独留你活命，而你并不知道为什么。
2  你在一颗暗星下出生。你能感觉到它以遥远而冰冷的目光注视着你。夜深人静的时候时，它不时向你发出召唤。
3  几个世纪以来，一个幽灵一直纠缠着你的家族，现在，它来找你了。你不知道它要什么，但它也不打算放过你。
4  你的家族历来习练黑暗的技艺，你涉足了一次，感到某种恐怖攫取了你的灵魂。你带着惊慌逃走了。
5  在一个漆黑寒冷的夜晚，一只恶鬼抓走了你的兄弟姊妹，而你无力阻止。
6  你曾被诅咒变成人狼，杀害了无辜的人们，现在诅咒已经解除，但死者们依然在找你作祟。
7  一只老鬼婆把你拐走并养大，你从她那儿逃了出来，但她仍然留有魔法控制你，让你心里充满了邪恶的念头。
8  你曾打开了一部可怕的书卷，里面的内容不是精神正常的人所能承受得起的，你把书烧了，但里面的文字和图画已 经烙印在你的心智里。
9  在你还是个孩子的时候就被恶魔附身了，你被锁起来了但最后设法逃脱。现在你的意识夺回了自己的身体，但恶魔 并没有被驱逐，而你正努力压制着恶魔的意识。
10  为了向谋杀挚爱的凶手复仇，你做出了可怕的事情。现在你已经变成了一个怪物，哪怕你醒着，这件事也会像噩梦 一样纠缠你。</t>
  </si>
  <si>
    <t>官方调查Official Inquir。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</si>
  <si>
    <t>神秘之路Path To Mystery
你的第一个案子影响了你感兴趣的神秘事件类型。为什么这个案子对你有如此深刻的影响，对你而言如此重要，或者给你带来了如此重大的创伤？除了你之外，它影响了谁？你如何又为何被牵扯进来？这个案子解决了吗？它是如何让你走上调查其他神秘事件的道路的？从第一个案子表中选择或投掷细节，以揭开你作为调查员职业生涯起始的谜团。
第一个案子 First Case
D8
 案例
1 你的一位朋友被指控谋杀，但他是被冤枉的，你揪出了真正的凶手，证明了你朋友的清白后开始了你的侦探生涯。
2 你被告知自己失踪了几星期，当你被找到的时候，你没有离开的记忆。现在，你正调查自己身上曾经发生了什么事。
3 你曾帮助一个灵魂找到他失踪的尸体，使他安息。自那以后，其他幽灵鬼怪客户们一直来要你帮他们得到安息。
4 你发现恐吓你家的怪物是一个残忍的魔法师创造的幻觉。使用魔法的人逃脱了，但你仍在继续揭露魔法骗局。
5 你被错误地指控并被判有罪。 你设法逃脱了，并图帮助其它人避免你遭受的经历，哪怕你现在仍然受到法律追捕。
6 误用魔法物品导致你家被摧毁，但你幸存了下来。 一个秘密组织的成员找到了你。 你现在与他们合作，追踪危险的超自然现象并防止它们造成伤害。
7 你发现了一个阴谋集团的证据。 你试图揭露这个神秘的阴谋集团，但没有人相信你。 你仍在努力证明你所知道的是真实的。
8 你在一家调查当地执法部门无法解决的犯罪的事务所找到了一份工作。 你经常想哪个对你更重要，真相还是你的薪水。</t>
  </si>
  <si>
    <t>衡鉴学生</t>
  </si>
  <si>
    <t>衡鉴学徒LOREHOLD INITIATE
你获得斯翠海文学徒专长（见本章后），你必须选择衡鉴学院。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t>
  </si>
  <si>
    <t>衡鉴法术LOREHOLD SPELLS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考虑定制你施法时的法术外观。你的衡鉴法术可能创造出金色光芒的陈列。你也许使用书卷或卷轴为法器，你的法术效果可以反映出你所学习参阅的书的外观。</t>
  </si>
  <si>
    <t>粹丽学生</t>
  </si>
  <si>
    <t xml:space="preserve">粹丽学徒PRISMARI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t>
  </si>
  <si>
    <t>粹丽法术PRISMARI SPELLS
1st 繁彩球 Chromatic Orb , 雷鸣波 Thunderwave 
2nd 炽焰法球 Flaming Sphere, 动力短行Kinetic Jaunt（见本书） 
3rd 加速术 Haste ，水上行走 Water Walk 
4th 行动自如 Freedom of Movement ，火墙术 Wall of Fire 
5th 寒冰锥 Cone of Cold ，召唤元素生物 Conjure Elemental
考虑定制你施法时的法术外观。你在使用你的粹丽法术时可能会使用充满活力的，姿势性的移动方式——如同舞蹈一般——来满足姿势成分。就连你手上蹿动的火焰也是精雕细琢的艺术；当你猛烈地投掷法术时，多种元素之力形成宏伟的绘图。这些力量在法术消解后，也许会残留在你的身体或衣服上，留下元素彩妆——例如火花在你的头发之中跃动，你触碰的地方会留下跟随移动的霜痕。</t>
  </si>
  <si>
    <t>量析学生</t>
  </si>
  <si>
    <t>量析学徒QUANDRIX INITIATE
你获得斯翠海文学徒专长（见本章后），你必须选择量析学院。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t>
  </si>
  <si>
    <t>量析法术QUANDRIX SPELLS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考虑定制你施法时的法术外观。你 的量析法术可能会在万花筒般的分形图案漩涡中显现出来，放大你姿势成分中最微小的动作。当你的魔法创造或改变生物时，魔法可能会用闪烁的分形图案或镶嵌花纹短暂地包围目标。</t>
  </si>
  <si>
    <t>银毫学生</t>
  </si>
  <si>
    <t xml:space="preserve">银毫学徒SILVERQUILL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t>
  </si>
  <si>
    <t>银毫法术SILVERQUILL SPELLS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考虑定制你施法时的法术外观。你的银毫法术可能会伴随着诸如墨水斑点或金光涟漪的视觉效果。你法术的听觉效果时常听起来像是放大的回声，如同你的声音在朗读该法术的语言成分一般 ——即使在电闪雷鸣或热浪喷发的时候也能听见。</t>
  </si>
  <si>
    <t>靡华学生</t>
  </si>
  <si>
    <t>靡华学徒WITHERBLOOM INITIATE
你 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t>
  </si>
  <si>
    <t>靡华法术WITHERBLOOM SPELLS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考虑定制你施法时的法术外观。你的靡华法术所需的材料成分或是法器可能是从靡华的沼泽环境中取得，你的法术外观可能反应了这些自然元素。你的法术效果中也许会出现幽灵般的沼泽动植物。</t>
  </si>
  <si>
    <t>星界浪客</t>
  </si>
  <si>
    <t>长寿 Longevity。你的实际年龄要比你的外表年长 20d6 岁，因为你在停止老化的星界海中逗留了这么长的时间。 
神性之遇Divine Contact。你获得来自玩家手册中的魔法学徒专长，且在选择该专长中的职业时，你必须选择“牧师”一项。 在星界海，你与一位流浪的神祇道路相会。这次相遇简短且友善，但仍给你留下了长久的影响。这位神祇觉得适合同你分享一个秘密或一点晦涩的宇宙知识。与你的 DM 合作，确定这些知识的细节及其对战役的影响。</t>
  </si>
  <si>
    <t xml:space="preserve">投掷神性之遇表来决定你遇见了哪一位神祇，或和你的 DM 合作选取一个更恰当的选项。 
 D10  流浪神祇  
 1  柯瑞隆Corellon，艺术和魔法之神（混乱善良） 
 2  泰摩拉Tymora，幸运之神（混乱善良） 
 3  法兰恩Fharlanghn，视野和旅行之神（中立善良） 
 4  伊斯图丝Istus，命运与宿命之神（绝对中立） 
 5  努阿达Nuada，战争与战士之神（绝对中立） 
 6  亦为林Zivilyn，智慧之神（绝对中立） 
 7  安雯Arawn，生命与死亡之神（中立邪恶） 
 8  赫卡忒 Hecate，魔法与月亮之神（混乱邪恶） 
 9  塞莱斯坦Celestian，繁星与流浪之神（绝对中立） 
 10  布塔Ptah，知识与秘密之神（守序中立） </t>
  </si>
  <si>
    <t>荒宇人</t>
  </si>
  <si>
    <t xml:space="preserve">荒宇适性Wildspace Adaptation。你获得来自玩家手册中的健壮专长。此外，你学会了如何适应失重。你的近战攻击检定不会因失重状态而具有的劣势。（见第二章“失重”） </t>
  </si>
  <si>
    <t xml:space="preserve">近距离遭遇 Close Encounter 
你和荒宇中的众多恐怖之一有过一次惨痛遭遇。你得以逃生，但这次接触给你留下了一到两处伤疤，或是一个反复出现的噩梦。投掷近距离接触表来决定哪一种生物你的角色最几乎将你毁灭。标有星号的生物出现在《布布的星界怪兽展》中，其他的则出现在《怪物图鉴》中。 
 D10  生物 
 1  眼魔Beholder 
 2  宇宙恐怪Cosmic horror* 
 3  惊怖魔Feyr* 
 4  月亮龙Lunar dragon* 
 5  夺心魔Mind flayer 
 6  纳-萨古Neh-thalggu* 
 7  纽吉怪Neogi* 
 8  太空小丑Space clown* 
 9  吸血骇盗Vampirate* 
 10  虚空独眼Void scavver* </t>
  </si>
  <si>
    <t>巨人养子</t>
  </si>
  <si>
    <t>巨人打击Strike of the Giants
你获得专长 巨人打击Strike of the Giants。</t>
  </si>
  <si>
    <t>起源故事 Origin Stories
由你决定你是如何来到这个充斥着庞大生物的地方并在此居住的，不过 养子起源Foundling Origin 表为你提供了一些可能性的建议。
d6  起源 
1 你在还是婴儿的时候就被一群游牧巨人收养，他们将你当做他们的同族孩童抚养。 
2 在你落下山崖断口时，一个石巨人家庭救下了你。自那以后，你便与它们一同居住在地下了。 
3 在你孩童时期，你曾在一个四处都是饥饿恐龙的密林中走丢（或被抛弃了）。在那，你遇到了一名与你有着相同遭遇的落单霜巨人。你们俩一起，在这座密林中活了下来。 
4 在一场巨人族群与族群之间的战斗中，你的农场被摧毁了，你的家人们也被杀死了。出于对破坏行为的内疚，一名富有同情心的巨人战士向你承诺会照顾你。 
5 在你孩童时期，你曾有过一系列的奇怪梦境。那之后，你那无比迷信的家长送你去跟一名强大但离群的风暴巨人圣贤一同学习。 
6 在你与朋友玩躲猫猫期间，你无意间闯入了一座云巨人的城堡。 他二话不说的就领养了你。</t>
  </si>
  <si>
    <t>符文塑形者Rune Shaper
你获得专长 符文塑形者Rune Shaper。</t>
  </si>
  <si>
    <t xml:space="preserve">符文风格 Rune Styles 
每个符文雕刻者都有一套专属于自己的风格与偏好的媒介。你可以投掷 符文风格Rune Style 表来决定它，决定你是如何制作你的符文的。
d6  风格 
1 你用一根精致的金属针在蜡上、或在黏土上铭刻你的符文。 
2 你将小块的木头切削成木雕以用于承载你的符文。 
3 你将符文雕刻在玻璃珠子上，并将他们串成项链或是手镯。 
4 你将符文缝在衣物的褶边上。 
5 你在可以投掷的、形状大小一组骨头上刻下你的符文。 
6 你在蜡烛上绘出符文，再将蜡融化，填平蜡烛上的刻痕。 </t>
  </si>
  <si>
    <t>受宠者</t>
  </si>
  <si>
    <t>命运宠幸Fortune's Favor。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</si>
  <si>
    <t>创建一位受宠者角色
受宠者角色们有着各不相同的过去，但他们有一点是共同的：在生活突然转向之前，他们都因自己的运气而感到悲哀。他们可能已经放弃了获得更快乐生活的所有希望，却又突然间获得了第二次机会。某位受宠者角色往往曾花数年时间以努力逃脱困苦的境遇。现在，逃脱了先前生活的监牢（有时是字面意义上的），他们将所要考虑的事情抛到了九霄云外然后成为了冒险者。
如果你角色的人生因万象无常牌而改变，考虑一下是哪张牌引起的。或许是命运牌解开了你角色在年轻时铸成的悲剧错误。宝石牌也可能会抹去纠缠一生的债务。也许是贤者牌提供了逃离绝望境地所需的建议，星辰牌则将其的某项属性值提升到了当前值，或者在抽出月亮牌后施放的一道祈愿术Wish将你的角色从一位小贩变为浸染了魔法，新学识与新技能的新生术士。如果你在高于1级时创建角色，则其所拥有的魔法物品可以通过钥匙牌或太阳牌授予。</t>
  </si>
  <si>
    <t>受难者</t>
  </si>
  <si>
    <t>屹立不倒Still Standing。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</si>
  <si>
    <t>创建一位受难者角色
受难者角色在厄运临头之前曾在世界的巅峰。其中许多人都很富有。其他的虽出身于中等背景，但朋友，家人与爱人也曾围绕在他们身边。他们可能非常出名，又或者以前从未遇到过严重的困难。有些生来便享有特权又或者通过欺骗或虚假身份从而声名鹊起。现在一副万象无常牌——或者其他的灾难——便将他们像摧毁纸牌屋一般击溃了。
如果你角色的人生因万象无常牌而沦落，考虑一下是哪张牌引起的。也许你的角色因城堡牌或虚空牌而被常年监禁，而现在其认识的所有人均已死去。也许你的角色抽到了浪客牌，而与其最亲密的人——配偶，孩子或者父母——转而背叛了其。一只由火焰牌所释放出来的魔鬼也可能会毁掉其的人生。而废墟牌或鹰爪牌也可能会偷走角色的物资或让其背负巨额债务。</t>
  </si>
  <si>
    <t>这张卡不禁止二次修改</t>
  </si>
  <si>
    <t>更新记录</t>
  </si>
  <si>
    <t>↓更新会做的东西（大概）↓</t>
  </si>
  <si>
    <t>联系方式</t>
  </si>
  <si>
    <t>Q&amp;A</t>
  </si>
  <si>
    <t>v0版本：初代目作者——猫斯基（留下NekoWorks标记的作者）版本，Nekoworks最晚记录为x2.1版本，此卡也是在该版本上进行修改的</t>
  </si>
  <si>
    <t>猫斯基（初代目作者）</t>
  </si>
  <si>
    <t>Q：这张卡免费使用吗？</t>
  </si>
  <si>
    <t>QQ：176425615</t>
  </si>
  <si>
    <t>A：当然，如果你是付费拿到的，请立马去追回自己的小钱钱！</t>
  </si>
  <si>
    <t>v1版本：AC最大敏捷结算订正</t>
  </si>
  <si>
    <t>v2版本：法术速查整合，法术书添加</t>
  </si>
  <si>
    <t>微波叮桃子（微改人物卡的家伙）</t>
  </si>
  <si>
    <t>V3：NMD，WSM……咳咳！</t>
  </si>
  <si>
    <t>QQ：2900829948</t>
  </si>
  <si>
    <t>Q：我找到了更早一代的作者诶</t>
  </si>
  <si>
    <t>v4版本：排版更改为竖排</t>
  </si>
  <si>
    <t>A：请尽可能快的联系现在的几位作者！拜托了！拜托了！拜托了！</t>
  </si>
  <si>
    <t>v4.2版本：添加角色描述</t>
  </si>
  <si>
    <t>?</t>
  </si>
  <si>
    <t>做一个好条条（法术速查工具作者）</t>
  </si>
  <si>
    <t>v4.3版本：人物血量计算小工具添加</t>
  </si>
  <si>
    <t>联系方式暂缺</t>
  </si>
  <si>
    <t>v4.3.2版本：下拉菜单添加</t>
  </si>
  <si>
    <t>Q：更新频率是多少啊？</t>
  </si>
  <si>
    <t>v4.3.4版本：主要页面施法栏变更</t>
  </si>
  <si>
    <t>欧阳天麟（参与修订的作者）</t>
  </si>
  <si>
    <t>A：看心情更新，最近大概在没有bug的情况下不怎么更新了（天麟说的）</t>
  </si>
  <si>
    <t>v4.3.5版本：属性下拉菜单更改为复选框</t>
  </si>
  <si>
    <t>QQ：895445383</t>
  </si>
  <si>
    <t>v4.3.6版本：额外添加两本法术书</t>
  </si>
  <si>
    <t>雷猫如此慵懒（参与修订的作者）</t>
  </si>
  <si>
    <t>v4.3.7版本：添加准备法术菜单</t>
  </si>
  <si>
    <t>QQ：906555822</t>
  </si>
  <si>
    <t>Q：有bug或者更新建议要反馈怎么办</t>
  </si>
  <si>
    <t>v4.3.8版本：种族属性查询工具添加</t>
  </si>
  <si>
    <t>部分作者找不到联系方式了呜呜呜呜……</t>
  </si>
  <si>
    <t>A：按顺序找最新的作者名单里的各个作者（绝对不是天麟偷懒）</t>
  </si>
  <si>
    <t>v4.3.9版本：装备同调选项添加</t>
  </si>
  <si>
    <t>有人知道的话请联系可以新的作者们</t>
  </si>
  <si>
    <t>v4.3.10版本：修复Bug</t>
  </si>
  <si>
    <t>拜托了！拜托了！拜托了！</t>
  </si>
  <si>
    <t>v4.3.11版本：法术重复项提示功能加入</t>
  </si>
  <si>
    <t>Q：跑团时候对骰娘功能不满意想要定做功能怎么办</t>
  </si>
  <si>
    <t>v4.3.12版本：专注法术绿标功能加入</t>
  </si>
  <si>
    <t>v4.3.13版本：灵巧武器攻击骰调整</t>
  </si>
  <si>
    <t>也欢迎联系作者反馈bug或增加新功能</t>
  </si>
  <si>
    <t>A：看看下边的广告，大概可以帮你定制（by天麟）</t>
  </si>
  <si>
    <t>v4.3.14版本：技能修正值统合</t>
  </si>
  <si>
    <t>修订组增加成员</t>
  </si>
  <si>
    <t>↓↓↓ 天麟试图推销自家骰郎 ↓↓↓</t>
  </si>
  <si>
    <t>v4.3.15版本：负重判定Bug修正</t>
  </si>
  <si>
    <t>天麟家的骰郎
筱朝
QQ：487515909</t>
  </si>
  <si>
    <t>←是公骰desu</t>
  </si>
  <si>
    <t>v4.3.16版本：小优化</t>
  </si>
  <si>
    <t>v4.3.17版本：武器伤害预设添加</t>
  </si>
  <si>
    <t>v4.3.18版本：加值武器结算功能追加（仅命中），背包重量修正</t>
  </si>
  <si>
    <t>v4.3.19版本：添加了部分职业能力预设</t>
  </si>
  <si>
    <t>v4.3.20版本：添加了部分专长能力预设</t>
  </si>
  <si>
    <t>v4.3.21版本：Bug修复</t>
  </si>
  <si>
    <t>是mirai框架的溯洄系骰郎（虽然bug不少就是了）</t>
  </si>
  <si>
    <t>v4.3.22版本：主要界面改版</t>
  </si>
  <si>
    <t>v4.3.23版本：额外法术添加功能试作</t>
  </si>
  <si>
    <t>v4.3.24版本：Bug修复</t>
  </si>
  <si>
    <t>v4.4.0版本：个人据点信息独立成页，主要页大幅修改，恢复种族查询页
版权信息修正及更改（2020-11-10）</t>
  </si>
  <si>
    <t>v4.4.1版本：塔莎书部分数据添加，公式函数优化（2021-06-26）</t>
  </si>
  <si>
    <t>v4.4.2版本：修正错误数据（2021-08-17）</t>
  </si>
  <si>
    <t>v4.4.2版本：修复在极端情况下敏捷为负数时导致的重甲AC异常（2021-11-08）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</si>
</sst>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宋体"/>
      <charset val="134"/>
      <scheme val="minor"/>
    </font>
    <font>
      <sz val="11"/>
      <color theme="1"/>
      <name val="微软雅黑"/>
      <charset val="134"/>
    </font>
    <font>
      <sz val="10"/>
      <color theme="0"/>
      <name val="微软雅黑"/>
      <charset val="134"/>
    </font>
    <font>
      <sz val="10"/>
      <color theme="1"/>
      <name val="微软雅黑"/>
      <charset val="134"/>
    </font>
    <font>
      <b/>
      <sz val="10"/>
      <color theme="1"/>
      <name val="微软雅黑"/>
      <charset val="134"/>
    </font>
    <font>
      <b/>
      <sz val="28"/>
      <color theme="1"/>
      <name val="微软雅黑"/>
      <charset val="134"/>
    </font>
    <font>
      <b/>
      <sz val="12"/>
      <color rgb="FFFF0000"/>
      <name val="微软雅黑"/>
      <charset val="134"/>
    </font>
    <font>
      <b/>
      <sz val="10"/>
      <color rgb="FFFF0000"/>
      <name val="微软雅黑"/>
      <charset val="134"/>
    </font>
    <font>
      <b/>
      <sz val="22"/>
      <color rgb="FF00B0F0"/>
      <name val="微软雅黑"/>
      <charset val="134"/>
    </font>
    <font>
      <sz val="11"/>
      <color theme="1"/>
      <name val="Times New Roman"/>
      <family val="1"/>
    </font>
    <font>
      <sz val="11"/>
      <color theme="1"/>
      <name val="宋体"/>
      <charset val="134"/>
    </font>
    <font>
      <sz val="11"/>
      <name val="宋体"/>
      <charset val="134"/>
    </font>
    <font>
      <b/>
      <sz val="10"/>
      <color theme="0"/>
      <name val="微软雅黑"/>
      <charset val="134"/>
    </font>
    <font>
      <sz val="8"/>
      <color theme="1"/>
      <name val="微软雅黑"/>
      <charset val="134"/>
    </font>
    <font>
      <sz val="9"/>
      <color theme="1"/>
      <name val="微软雅黑"/>
      <charset val="134"/>
    </font>
    <font>
      <sz val="10"/>
      <name val="微软雅黑"/>
      <charset val="134"/>
    </font>
    <font>
      <sz val="10"/>
      <color theme="1"/>
      <name val="宋体"/>
      <charset val="134"/>
      <scheme val="minor"/>
    </font>
    <font>
      <b/>
      <sz val="11"/>
      <color theme="1"/>
      <name val="宋体"/>
      <charset val="134"/>
      <scheme val="minor"/>
    </font>
    <font>
      <b/>
      <sz val="11"/>
      <name val="宋体"/>
      <charset val="134"/>
    </font>
    <font>
      <b/>
      <i/>
      <u/>
      <sz val="11"/>
      <color rgb="FFFF0000"/>
      <name val="宋体"/>
      <charset val="134"/>
    </font>
    <font>
      <sz val="11"/>
      <color rgb="FFFF0000"/>
      <name val="宋体"/>
      <charset val="134"/>
    </font>
    <font>
      <sz val="11"/>
      <color rgb="FFFF0000"/>
      <name val="宋体"/>
      <charset val="134"/>
      <scheme val="minor"/>
    </font>
    <font>
      <b/>
      <i/>
      <sz val="11"/>
      <color theme="1"/>
      <name val="宋体"/>
      <charset val="134"/>
      <scheme val="minor"/>
    </font>
    <font>
      <sz val="11"/>
      <color rgb="FF00B0F0"/>
      <name val="宋体"/>
      <charset val="134"/>
    </font>
    <font>
      <sz val="11"/>
      <color rgb="FF0070C0"/>
      <name val="宋体"/>
      <charset val="134"/>
    </font>
    <font>
      <b/>
      <sz val="9"/>
      <color theme="1"/>
      <name val="微软雅黑"/>
      <charset val="134"/>
    </font>
    <font>
      <sz val="11"/>
      <name val="宋体"/>
      <charset val="134"/>
      <scheme val="minor"/>
    </font>
    <font>
      <sz val="11"/>
      <color rgb="FF000000"/>
      <name val="Times New Roman"/>
      <family val="1"/>
    </font>
    <font>
      <sz val="11"/>
      <color rgb="FF00B050"/>
      <name val="宋体"/>
      <charset val="134"/>
      <scheme val="minor"/>
    </font>
    <font>
      <sz val="10"/>
      <color theme="8" tint="-0.499984740745262"/>
      <name val="宋体"/>
      <charset val="134"/>
      <scheme val="minor"/>
    </font>
    <font>
      <sz val="10"/>
      <color theme="1"/>
      <name val="宋体"/>
      <charset val="134"/>
      <scheme val="major"/>
    </font>
    <font>
      <sz val="10"/>
      <color theme="1"/>
      <name val="宋体"/>
      <charset val="134"/>
    </font>
    <font>
      <b/>
      <sz val="9"/>
      <color rgb="FF0799FF"/>
      <name val="微软雅黑"/>
      <charset val="134"/>
    </font>
    <font>
      <b/>
      <sz val="9"/>
      <color rgb="FF6FC7FF"/>
      <name val="微软雅黑"/>
      <charset val="134"/>
    </font>
    <font>
      <b/>
      <sz val="9"/>
      <color rgb="FFABE1FF"/>
      <name val="微软雅黑"/>
      <charset val="134"/>
    </font>
    <font>
      <b/>
      <sz val="9"/>
      <color theme="0" tint="-0.34998626667073579"/>
      <name val="微软雅黑"/>
      <charset val="134"/>
    </font>
    <font>
      <b/>
      <sz val="9"/>
      <color rgb="FFFF7777"/>
      <name val="微软雅黑"/>
      <charset val="134"/>
    </font>
    <font>
      <b/>
      <sz val="9"/>
      <color rgb="FFFF3939"/>
      <name val="微软雅黑"/>
      <charset val="134"/>
    </font>
    <font>
      <b/>
      <sz val="9"/>
      <color rgb="FFDE0000"/>
      <name val="微软雅黑"/>
      <charset val="134"/>
    </font>
    <font>
      <b/>
      <sz val="18"/>
      <color theme="0"/>
      <name val="微软雅黑"/>
      <charset val="134"/>
    </font>
    <font>
      <sz val="11"/>
      <color theme="1"/>
      <name val="宋体"/>
      <charset val="134"/>
      <scheme val="minor"/>
    </font>
    <font>
      <sz val="11"/>
      <color theme="1"/>
      <name val="Tahoma"/>
      <family val="2"/>
    </font>
    <font>
      <sz val="11"/>
      <color theme="1"/>
      <name val="Microsoft JhengHei"/>
      <family val="2"/>
    </font>
    <font>
      <sz val="9"/>
      <name val="宋体"/>
      <family val="3"/>
      <charset val="134"/>
    </font>
    <font>
      <sz val="9"/>
      <name val="宋体"/>
      <family val="3"/>
      <charset val="134"/>
      <scheme val="minor"/>
    </font>
  </fonts>
  <fills count="43">
    <fill>
      <patternFill patternType="none"/>
    </fill>
    <fill>
      <patternFill patternType="gray125"/>
    </fill>
    <fill>
      <patternFill patternType="solid">
        <fgColor theme="4"/>
        <bgColor indexed="64"/>
      </patternFill>
    </fill>
    <fill>
      <patternFill patternType="solid">
        <fgColor rgb="FFBDFFBD"/>
        <bgColor indexed="64"/>
      </patternFill>
    </fill>
    <fill>
      <patternFill patternType="solid">
        <fgColor theme="0"/>
        <bgColor indexed="64"/>
      </patternFill>
    </fill>
    <fill>
      <patternFill patternType="solid">
        <fgColor theme="4" tint="0.79989013336588644"/>
        <bgColor indexed="64"/>
      </patternFill>
    </fill>
    <fill>
      <patternFill patternType="solid">
        <fgColor rgb="FF00B0F0"/>
        <bgColor indexed="64"/>
      </patternFill>
    </fill>
    <fill>
      <patternFill patternType="solid">
        <fgColor rgb="FFF7F7EB"/>
        <bgColor indexed="64"/>
      </patternFill>
    </fill>
    <fill>
      <patternFill patternType="solid">
        <fgColor theme="5" tint="-0.249977111117893"/>
        <bgColor indexed="64"/>
      </patternFill>
    </fill>
    <fill>
      <patternFill patternType="solid">
        <fgColor rgb="FFFFFF00"/>
        <bgColor indexed="64"/>
      </patternFill>
    </fill>
    <fill>
      <patternFill patternType="solid">
        <fgColor theme="8" tint="0.79992065187536243"/>
        <bgColor indexed="64"/>
      </patternFill>
    </fill>
    <fill>
      <patternFill patternType="solid">
        <fgColor theme="8" tint="0.59999389629810485"/>
        <bgColor indexed="64"/>
      </patternFill>
    </fill>
    <fill>
      <patternFill patternType="solid">
        <fgColor theme="8" tint="0.399914548173467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2065187536243"/>
        <bgColor indexed="64"/>
      </patternFill>
    </fill>
    <fill>
      <patternFill patternType="solid">
        <fgColor theme="2" tint="-9.9978637043366805E-2"/>
        <bgColor indexed="64"/>
      </patternFill>
    </fill>
    <fill>
      <patternFill patternType="solid">
        <fgColor theme="9" tint="0.79992065187536243"/>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7" tint="0.79989013336588644"/>
        <bgColor indexed="64"/>
      </patternFill>
    </fill>
    <fill>
      <patternFill patternType="solid">
        <fgColor theme="7" tint="0.39991454817346722"/>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79989013336588644"/>
        <bgColor indexed="64"/>
      </patternFill>
    </fill>
    <fill>
      <patternFill patternType="solid">
        <fgColor theme="7" tint="-0.249977111117893"/>
        <bgColor indexed="64"/>
      </patternFill>
    </fill>
    <fill>
      <patternFill patternType="solid">
        <fgColor rgb="FFFFFF99"/>
        <bgColor indexed="64"/>
      </patternFill>
    </fill>
    <fill>
      <patternFill patternType="solid">
        <fgColor rgb="FFC6E0B4"/>
        <bgColor indexed="64"/>
      </patternFill>
    </fill>
    <fill>
      <patternFill patternType="solid">
        <fgColor theme="6"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rgb="FFFCE4D6"/>
        <bgColor indexed="64"/>
      </patternFill>
    </fill>
    <fill>
      <patternFill patternType="solid">
        <fgColor rgb="FFA9D08E"/>
        <bgColor indexed="64"/>
      </patternFill>
    </fill>
    <fill>
      <patternFill patternType="solid">
        <fgColor rgb="FFFFF2CC"/>
        <bgColor indexed="64"/>
      </patternFill>
    </fill>
    <fill>
      <patternFill patternType="solid">
        <fgColor rgb="FFFFD966"/>
        <bgColor indexed="64"/>
      </patternFill>
    </fill>
    <fill>
      <patternFill patternType="solid">
        <fgColor rgb="FFBFBFBF"/>
        <bgColor indexed="64"/>
      </patternFill>
    </fill>
    <fill>
      <patternFill patternType="solid">
        <fgColor theme="9" tint="0.39991454817346722"/>
        <bgColor indexed="64"/>
      </patternFill>
    </fill>
    <fill>
      <patternFill patternType="solid">
        <fgColor rgb="FFE0E5C2"/>
        <bgColor indexed="64"/>
      </patternFill>
    </fill>
    <fill>
      <patternFill patternType="solid">
        <fgColor rgb="FFEFE4F7"/>
        <bgColor indexed="64"/>
      </patternFill>
    </fill>
  </fills>
  <borders count="41">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B050"/>
      </left>
      <right style="thin">
        <color rgb="FF00B050"/>
      </right>
      <top style="thin">
        <color rgb="FF00B050"/>
      </top>
      <bottom style="thin">
        <color rgb="FF00B050"/>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style="medium">
        <color auto="1"/>
      </top>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medium">
        <color auto="1"/>
      </right>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bottom/>
      <diagonal/>
    </border>
    <border>
      <left/>
      <right/>
      <top style="thick">
        <color auto="1"/>
      </top>
      <bottom/>
      <diagonal/>
    </border>
  </borders>
  <cellStyleXfs count="3">
    <xf numFmtId="0" fontId="0" fillId="0" borderId="0">
      <alignment vertical="center"/>
    </xf>
    <xf numFmtId="0" fontId="11" fillId="0" borderId="0">
      <alignment vertical="center"/>
    </xf>
    <xf numFmtId="0" fontId="40" fillId="0" borderId="0">
      <alignment vertical="center"/>
    </xf>
  </cellStyleXfs>
  <cellXfs count="340">
    <xf numFmtId="0" fontId="0" fillId="0" borderId="0" xfId="0">
      <alignment vertical="center"/>
    </xf>
    <xf numFmtId="0" fontId="1" fillId="0" borderId="0" xfId="0" applyFo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lignment vertical="center"/>
    </xf>
    <xf numFmtId="0" fontId="3" fillId="7" borderId="0" xfId="0" applyFont="1" applyFill="1" applyAlignment="1">
      <alignment horizontal="center" vertical="center"/>
    </xf>
    <xf numFmtId="0" fontId="17" fillId="0" borderId="0" xfId="0" applyFont="1">
      <alignment vertical="center"/>
    </xf>
    <xf numFmtId="0" fontId="17" fillId="0" borderId="0" xfId="0" applyFont="1" applyAlignment="1">
      <alignment horizontal="fill" vertical="center"/>
    </xf>
    <xf numFmtId="0" fontId="0" fillId="0" borderId="0" xfId="0" applyAlignment="1">
      <alignment vertical="center" wrapText="1"/>
    </xf>
    <xf numFmtId="0" fontId="0" fillId="0" borderId="0" xfId="0" applyAlignment="1">
      <alignment horizontal="fill" vertical="center"/>
    </xf>
    <xf numFmtId="0" fontId="0" fillId="0" borderId="0" xfId="0" applyAlignment="1">
      <alignment horizontal="fill" vertical="center" wrapText="1"/>
    </xf>
    <xf numFmtId="0" fontId="0" fillId="0" borderId="0" xfId="0" applyAlignment="1">
      <alignment horizontal="center" vertical="center" wrapText="1"/>
    </xf>
    <xf numFmtId="0" fontId="11" fillId="0" borderId="0" xfId="1" applyAlignment="1">
      <alignment horizontal="center" vertical="center" wrapText="1"/>
    </xf>
    <xf numFmtId="0" fontId="0" fillId="0" borderId="22" xfId="0" applyBorder="1" applyAlignment="1">
      <alignment horizontal="center" vertical="center" wrapText="1"/>
    </xf>
    <xf numFmtId="0" fontId="11" fillId="0" borderId="23" xfId="1" applyBorder="1" applyAlignment="1">
      <alignment horizontal="center" vertical="center" wrapText="1"/>
    </xf>
    <xf numFmtId="0" fontId="11" fillId="0" borderId="22" xfId="1" applyBorder="1" applyAlignment="1">
      <alignment horizontal="left" vertical="center" wrapText="1"/>
    </xf>
    <xf numFmtId="0" fontId="11" fillId="0" borderId="24" xfId="1" applyBorder="1" applyAlignment="1">
      <alignment horizontal="left" vertical="center"/>
    </xf>
    <xf numFmtId="0" fontId="0" fillId="0" borderId="23" xfId="0" applyBorder="1" applyAlignment="1">
      <alignment horizontal="center" vertical="center" wrapText="1"/>
    </xf>
    <xf numFmtId="0" fontId="11" fillId="0" borderId="22" xfId="1" applyBorder="1" applyAlignment="1">
      <alignment horizontal="center" vertical="center" wrapText="1"/>
    </xf>
    <xf numFmtId="0" fontId="11" fillId="5" borderId="22" xfId="1" applyFill="1" applyBorder="1" applyAlignment="1">
      <alignment horizontal="center" vertical="center" wrapText="1"/>
    </xf>
    <xf numFmtId="0" fontId="11" fillId="24" borderId="22" xfId="1" applyFill="1" applyBorder="1" applyAlignment="1">
      <alignment horizontal="center" vertical="center" wrapText="1"/>
    </xf>
    <xf numFmtId="0" fontId="11" fillId="25" borderId="22" xfId="1" applyFill="1" applyBorder="1" applyAlignment="1">
      <alignment horizontal="center" vertical="center" wrapText="1"/>
    </xf>
    <xf numFmtId="0" fontId="11" fillId="11" borderId="22" xfId="1" applyFill="1" applyBorder="1" applyAlignment="1">
      <alignment horizontal="center" vertical="center" wrapText="1"/>
    </xf>
    <xf numFmtId="0" fontId="11" fillId="26" borderId="22" xfId="1" applyFill="1" applyBorder="1" applyAlignment="1">
      <alignment horizontal="center" vertical="center" wrapText="1"/>
    </xf>
    <xf numFmtId="0" fontId="11" fillId="6" borderId="22" xfId="1" applyFill="1" applyBorder="1" applyAlignment="1">
      <alignment horizontal="center" vertical="center" wrapText="1"/>
    </xf>
    <xf numFmtId="0" fontId="11" fillId="9" borderId="22" xfId="1" applyFill="1" applyBorder="1" applyAlignment="1">
      <alignment horizontal="center" vertical="center" wrapText="1"/>
    </xf>
    <xf numFmtId="0" fontId="11" fillId="27" borderId="22" xfId="1" applyFill="1" applyBorder="1" applyAlignment="1">
      <alignment horizontal="center" vertical="center" wrapText="1"/>
    </xf>
    <xf numFmtId="0" fontId="0" fillId="7" borderId="22" xfId="0" applyFill="1" applyBorder="1" applyAlignment="1">
      <alignment horizontal="center" vertical="center" wrapText="1"/>
    </xf>
    <xf numFmtId="0" fontId="0" fillId="8" borderId="22" xfId="0" applyFill="1" applyBorder="1" applyAlignment="1">
      <alignment horizontal="center" vertical="center" wrapText="1"/>
    </xf>
    <xf numFmtId="0" fontId="0" fillId="28" borderId="22" xfId="0" applyFill="1" applyBorder="1" applyAlignment="1">
      <alignment horizontal="center" vertical="center" wrapText="1"/>
    </xf>
    <xf numFmtId="0" fontId="0" fillId="29" borderId="22" xfId="0" applyFill="1" applyBorder="1" applyAlignment="1">
      <alignment horizontal="center" vertical="center" wrapText="1"/>
    </xf>
    <xf numFmtId="0" fontId="0" fillId="30" borderId="22" xfId="0" applyFill="1" applyBorder="1" applyAlignment="1">
      <alignment horizontal="center" vertical="center" wrapText="1"/>
    </xf>
    <xf numFmtId="0" fontId="11" fillId="0" borderId="25" xfId="1" applyBorder="1" applyAlignment="1">
      <alignment horizontal="center" vertical="center" wrapText="1"/>
    </xf>
    <xf numFmtId="0" fontId="0" fillId="0" borderId="26" xfId="0" applyBorder="1" applyAlignment="1">
      <alignment horizontal="center" vertical="center" wrapText="1"/>
    </xf>
    <xf numFmtId="0" fontId="0" fillId="0" borderId="25" xfId="0" applyBorder="1" applyAlignment="1">
      <alignment horizontal="center" vertical="center" wrapText="1"/>
    </xf>
    <xf numFmtId="0" fontId="18" fillId="0" borderId="0" xfId="1" applyFont="1" applyAlignment="1">
      <alignment horizontal="center" vertical="center" wrapText="1"/>
    </xf>
    <xf numFmtId="0" fontId="11" fillId="0" borderId="27" xfId="1" applyBorder="1" applyAlignment="1">
      <alignment horizontal="center" vertical="center" wrapText="1"/>
    </xf>
    <xf numFmtId="0" fontId="11" fillId="0" borderId="0" xfId="1" applyAlignment="1">
      <alignment horizontal="left" vertical="center" wrapText="1"/>
    </xf>
    <xf numFmtId="0" fontId="11" fillId="0" borderId="24" xfId="1" applyBorder="1" applyAlignment="1">
      <alignment horizontal="left" vertical="center" wrapText="1"/>
    </xf>
    <xf numFmtId="0" fontId="11" fillId="25" borderId="0" xfId="1" applyFill="1" applyAlignment="1">
      <alignment horizontal="center" vertical="center" wrapText="1"/>
    </xf>
    <xf numFmtId="0" fontId="11" fillId="26" borderId="0" xfId="1" applyFill="1" applyAlignment="1">
      <alignment horizontal="center" vertical="center" wrapText="1"/>
    </xf>
    <xf numFmtId="0" fontId="0" fillId="0" borderId="24" xfId="0" applyBorder="1" applyAlignment="1">
      <alignment horizontal="center" vertical="center" wrapText="1"/>
    </xf>
    <xf numFmtId="0" fontId="0" fillId="0" borderId="28" xfId="0" applyBorder="1" applyAlignment="1">
      <alignment horizontal="center" vertical="center" wrapText="1"/>
    </xf>
    <xf numFmtId="0" fontId="19" fillId="0" borderId="27" xfId="1" applyFont="1" applyBorder="1" applyAlignment="1">
      <alignment horizontal="center" vertical="center" wrapText="1"/>
    </xf>
    <xf numFmtId="0" fontId="11" fillId="0" borderId="24" xfId="1" applyBorder="1" applyAlignment="1">
      <alignment horizontal="center" vertical="center" wrapText="1"/>
    </xf>
    <xf numFmtId="0" fontId="11" fillId="6" borderId="0" xfId="1" applyFill="1" applyAlignment="1">
      <alignment horizontal="center" vertical="center" wrapText="1"/>
    </xf>
    <xf numFmtId="0" fontId="0" fillId="30" borderId="0" xfId="0" applyFill="1" applyAlignment="1">
      <alignment horizontal="center" vertical="center" wrapText="1"/>
    </xf>
    <xf numFmtId="0" fontId="11" fillId="25" borderId="27" xfId="1" applyFill="1" applyBorder="1" applyAlignment="1">
      <alignment horizontal="center" vertical="center" wrapText="1"/>
    </xf>
    <xf numFmtId="0" fontId="11" fillId="5" borderId="0" xfId="1" applyFill="1" applyAlignment="1">
      <alignment horizontal="center" vertical="center" wrapText="1"/>
    </xf>
    <xf numFmtId="0" fontId="11" fillId="26" borderId="27" xfId="1" applyFill="1" applyBorder="1" applyAlignment="1">
      <alignment horizontal="center" vertical="center" wrapText="1"/>
    </xf>
    <xf numFmtId="0" fontId="0" fillId="0" borderId="27" xfId="0" applyBorder="1" applyAlignment="1">
      <alignment horizontal="center" vertical="center" wrapText="1"/>
    </xf>
    <xf numFmtId="0" fontId="11" fillId="8" borderId="0" xfId="1" applyFill="1" applyAlignment="1">
      <alignment horizontal="center" vertical="center" wrapText="1"/>
    </xf>
    <xf numFmtId="0" fontId="0" fillId="0" borderId="29" xfId="0" applyBorder="1" applyAlignment="1">
      <alignment horizontal="center" vertical="center" wrapText="1"/>
    </xf>
    <xf numFmtId="0" fontId="11" fillId="15" borderId="0" xfId="1" applyFill="1" applyAlignment="1">
      <alignment horizontal="left" vertical="center" wrapText="1"/>
    </xf>
    <xf numFmtId="0" fontId="11" fillId="24" borderId="27" xfId="1" applyFill="1" applyBorder="1" applyAlignment="1">
      <alignment horizontal="center" vertical="center" wrapText="1"/>
    </xf>
    <xf numFmtId="0" fontId="11" fillId="6" borderId="27" xfId="1" applyFill="1" applyBorder="1" applyAlignment="1">
      <alignment horizontal="center" vertical="center" wrapText="1"/>
    </xf>
    <xf numFmtId="0" fontId="0" fillId="7" borderId="0" xfId="0" applyFill="1" applyAlignment="1">
      <alignment horizontal="center" vertical="center" wrapText="1"/>
    </xf>
    <xf numFmtId="0" fontId="11" fillId="30" borderId="0" xfId="1" applyFill="1" applyAlignment="1">
      <alignment horizontal="center" vertical="center" wrapText="1"/>
    </xf>
    <xf numFmtId="0" fontId="11" fillId="5" borderId="27" xfId="1" applyFill="1" applyBorder="1" applyAlignment="1">
      <alignment horizontal="center" vertical="center" wrapText="1"/>
    </xf>
    <xf numFmtId="58" fontId="11" fillId="0" borderId="24" xfId="1" applyNumberFormat="1" applyBorder="1" applyAlignment="1">
      <alignment horizontal="center" vertical="center" wrapText="1"/>
    </xf>
    <xf numFmtId="58" fontId="11" fillId="0" borderId="0" xfId="1" applyNumberFormat="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31" borderId="27" xfId="0" applyFill="1" applyBorder="1" applyAlignment="1">
      <alignment horizontal="center" vertical="center" wrapText="1"/>
    </xf>
    <xf numFmtId="0" fontId="11" fillId="11" borderId="27" xfId="1" applyFill="1" applyBorder="1" applyAlignment="1">
      <alignment horizontal="center" vertical="center" wrapText="1"/>
    </xf>
    <xf numFmtId="0" fontId="11" fillId="8" borderId="27" xfId="1" applyFill="1" applyBorder="1" applyAlignment="1">
      <alignment horizontal="center" vertical="center" wrapText="1"/>
    </xf>
    <xf numFmtId="0" fontId="11" fillId="9" borderId="27" xfId="1" applyFill="1" applyBorder="1" applyAlignment="1">
      <alignment horizontal="center" vertical="center" wrapText="1"/>
    </xf>
    <xf numFmtId="0" fontId="11" fillId="27" borderId="27" xfId="1" applyFill="1" applyBorder="1" applyAlignment="1">
      <alignment horizontal="center" vertical="center" wrapText="1"/>
    </xf>
    <xf numFmtId="0" fontId="0" fillId="28" borderId="27" xfId="0" applyFill="1" applyBorder="1" applyAlignment="1">
      <alignment horizontal="center" vertical="center" wrapText="1"/>
    </xf>
    <xf numFmtId="0" fontId="0" fillId="29" borderId="27" xfId="0" applyFill="1" applyBorder="1" applyAlignment="1">
      <alignment horizontal="center" vertical="center" wrapText="1"/>
    </xf>
    <xf numFmtId="0" fontId="0" fillId="30" borderId="27" xfId="0" applyFill="1" applyBorder="1" applyAlignment="1">
      <alignment horizontal="center" vertical="center" wrapText="1"/>
    </xf>
    <xf numFmtId="0" fontId="11" fillId="0" borderId="30" xfId="1" applyBorder="1" applyAlignment="1">
      <alignment horizontal="center" vertical="center" wrapText="1"/>
    </xf>
    <xf numFmtId="0" fontId="0" fillId="0" borderId="32" xfId="0" applyBorder="1" applyAlignment="1">
      <alignment horizontal="center" vertical="center" wrapText="1"/>
    </xf>
    <xf numFmtId="0" fontId="11" fillId="28" borderId="0" xfId="1" applyFill="1" applyAlignment="1">
      <alignment horizontal="center" vertical="center" wrapText="1"/>
    </xf>
    <xf numFmtId="0" fontId="11" fillId="32" borderId="0" xfId="1" applyFill="1" applyAlignment="1">
      <alignment horizontal="center" vertical="center" wrapText="1"/>
    </xf>
    <xf numFmtId="0" fontId="11" fillId="20" borderId="0" xfId="1" applyFill="1" applyAlignment="1">
      <alignment horizontal="center" vertical="center" wrapText="1"/>
    </xf>
    <xf numFmtId="0" fontId="11" fillId="33" borderId="0" xfId="1" applyFill="1" applyAlignment="1">
      <alignment horizontal="center" vertical="center" wrapText="1"/>
    </xf>
    <xf numFmtId="0" fontId="11" fillId="34" borderId="0" xfId="1" applyFill="1" applyAlignment="1">
      <alignment horizontal="center" vertical="center" wrapText="1"/>
    </xf>
    <xf numFmtId="0" fontId="11" fillId="16" borderId="0" xfId="1" applyFill="1" applyAlignment="1">
      <alignment horizontal="center" vertical="center" wrapText="1"/>
    </xf>
    <xf numFmtId="0" fontId="18" fillId="24" borderId="0" xfId="1" applyFont="1" applyFill="1" applyAlignment="1">
      <alignment horizontal="center" vertical="center" wrapText="1"/>
    </xf>
    <xf numFmtId="0" fontId="11" fillId="22" borderId="0" xfId="1" applyFill="1" applyAlignment="1">
      <alignment horizontal="left" vertical="center" wrapText="1"/>
    </xf>
    <xf numFmtId="0" fontId="11" fillId="22" borderId="24" xfId="1" applyFill="1" applyBorder="1" applyAlignment="1">
      <alignment horizontal="left" vertical="center" wrapText="1"/>
    </xf>
    <xf numFmtId="0" fontId="20" fillId="0" borderId="0" xfId="1" applyFont="1" applyAlignment="1">
      <alignment horizontal="center" vertical="center" wrapText="1"/>
    </xf>
    <xf numFmtId="0" fontId="20" fillId="5" borderId="0" xfId="1" applyFont="1" applyFill="1" applyAlignment="1">
      <alignment horizontal="center" vertical="center" wrapText="1"/>
    </xf>
    <xf numFmtId="0" fontId="21" fillId="5" borderId="0" xfId="0" applyFont="1" applyFill="1" applyAlignment="1">
      <alignment horizontal="center" vertical="center" wrapText="1"/>
    </xf>
    <xf numFmtId="0" fontId="21" fillId="28" borderId="0" xfId="0" applyFont="1" applyFill="1" applyAlignment="1">
      <alignment horizontal="center" vertical="center" wrapText="1"/>
    </xf>
    <xf numFmtId="0" fontId="21" fillId="32" borderId="0" xfId="0" applyFont="1" applyFill="1" applyAlignment="1">
      <alignment horizontal="center" vertical="center" wrapText="1"/>
    </xf>
    <xf numFmtId="0" fontId="21" fillId="20" borderId="0" xfId="0" applyFont="1" applyFill="1" applyAlignment="1">
      <alignment horizontal="center" vertical="center" wrapText="1"/>
    </xf>
    <xf numFmtId="0" fontId="11" fillId="15" borderId="24" xfId="1" applyFill="1" applyBorder="1" applyAlignment="1">
      <alignment horizontal="left" vertical="center" wrapText="1"/>
    </xf>
    <xf numFmtId="0" fontId="18" fillId="25" borderId="0" xfId="1" applyFont="1" applyFill="1" applyAlignment="1">
      <alignment horizontal="center" vertical="center" wrapText="1"/>
    </xf>
    <xf numFmtId="0" fontId="18" fillId="11" borderId="0" xfId="1" applyFont="1" applyFill="1" applyAlignment="1">
      <alignment horizontal="center" vertical="center" wrapText="1"/>
    </xf>
    <xf numFmtId="0" fontId="18" fillId="26" borderId="0" xfId="1" applyFont="1" applyFill="1" applyAlignment="1">
      <alignment horizontal="center" vertical="center" wrapText="1"/>
    </xf>
    <xf numFmtId="0" fontId="18" fillId="6" borderId="0" xfId="1" applyFont="1" applyFill="1" applyAlignment="1">
      <alignment horizontal="center" vertical="center" wrapText="1"/>
    </xf>
    <xf numFmtId="0" fontId="11" fillId="28" borderId="27" xfId="1" applyFill="1" applyBorder="1" applyAlignment="1">
      <alignment horizontal="center" vertical="center" wrapText="1"/>
    </xf>
    <xf numFmtId="0" fontId="11" fillId="29" borderId="27" xfId="1" applyFill="1" applyBorder="1" applyAlignment="1">
      <alignment horizontal="center" vertical="center" wrapText="1"/>
    </xf>
    <xf numFmtId="0" fontId="11" fillId="30" borderId="27" xfId="1" applyFill="1" applyBorder="1" applyAlignment="1">
      <alignment horizontal="center" vertical="center" wrapText="1"/>
    </xf>
    <xf numFmtId="0" fontId="18" fillId="9" borderId="0" xfId="1" applyFont="1" applyFill="1" applyAlignment="1">
      <alignment horizontal="center" vertical="center" wrapText="1"/>
    </xf>
    <xf numFmtId="0" fontId="18" fillId="27" borderId="0" xfId="1" applyFont="1" applyFill="1" applyAlignment="1">
      <alignment horizontal="center" vertical="center" wrapText="1"/>
    </xf>
    <xf numFmtId="0" fontId="18" fillId="28" borderId="0" xfId="1" applyFont="1" applyFill="1" applyAlignment="1">
      <alignment horizontal="center" vertical="center" wrapText="1"/>
    </xf>
    <xf numFmtId="0" fontId="17" fillId="29" borderId="0" xfId="0" applyFont="1" applyFill="1" applyAlignment="1">
      <alignment horizontal="center" vertical="center" wrapText="1"/>
    </xf>
    <xf numFmtId="0" fontId="18" fillId="29" borderId="0" xfId="1" applyFont="1" applyFill="1" applyAlignment="1">
      <alignment horizontal="center" vertical="center" wrapText="1"/>
    </xf>
    <xf numFmtId="0" fontId="11" fillId="7" borderId="27" xfId="1" applyFill="1" applyBorder="1" applyAlignment="1">
      <alignment horizontal="center" vertical="center" wrapText="1"/>
    </xf>
    <xf numFmtId="0" fontId="18" fillId="30" borderId="0" xfId="1" applyFont="1" applyFill="1" applyAlignment="1">
      <alignment horizontal="center" vertical="center" wrapText="1"/>
    </xf>
    <xf numFmtId="0" fontId="17" fillId="30" borderId="0" xfId="0" applyFont="1" applyFill="1" applyAlignment="1">
      <alignment horizontal="center" vertical="center" wrapText="1"/>
    </xf>
    <xf numFmtId="0" fontId="22" fillId="7" borderId="0" xfId="0" applyFont="1" applyFill="1" applyAlignment="1">
      <alignment horizontal="center" vertical="center" wrapText="1"/>
    </xf>
    <xf numFmtId="0" fontId="23" fillId="0" borderId="0" xfId="1" applyFont="1" applyAlignment="1">
      <alignment horizontal="center" vertical="center" wrapText="1"/>
    </xf>
    <xf numFmtId="0" fontId="24" fillId="0" borderId="0" xfId="1" applyFont="1" applyAlignment="1">
      <alignment horizontal="center" vertical="center" wrapText="1"/>
    </xf>
    <xf numFmtId="0" fontId="11" fillId="0" borderId="29" xfId="1" applyBorder="1" applyAlignment="1">
      <alignment horizontal="left" vertical="center" wrapText="1"/>
    </xf>
    <xf numFmtId="0" fontId="11" fillId="0" borderId="31" xfId="1" applyBorder="1" applyAlignment="1">
      <alignment horizontal="left" vertical="center" wrapText="1"/>
    </xf>
    <xf numFmtId="0" fontId="18" fillId="0" borderId="24" xfId="1" applyFont="1" applyBorder="1" applyAlignment="1">
      <alignment horizontal="center" vertical="center" wrapText="1"/>
    </xf>
    <xf numFmtId="0" fontId="18" fillId="0" borderId="29" xfId="1" applyFont="1" applyBorder="1" applyAlignment="1">
      <alignment horizontal="center" vertical="center" wrapText="1"/>
    </xf>
    <xf numFmtId="0" fontId="18" fillId="0" borderId="31" xfId="1" applyFont="1" applyBorder="1" applyAlignment="1">
      <alignment horizontal="center" vertical="center" wrapText="1"/>
    </xf>
    <xf numFmtId="0" fontId="11" fillId="0" borderId="29" xfId="1" applyBorder="1" applyAlignment="1">
      <alignment horizontal="center" vertical="center" wrapText="1"/>
    </xf>
    <xf numFmtId="0" fontId="11" fillId="0" borderId="31" xfId="1" applyBorder="1" applyAlignment="1">
      <alignment horizontal="center" vertical="center" wrapText="1"/>
    </xf>
    <xf numFmtId="0" fontId="3" fillId="0" borderId="0" xfId="0" applyFont="1" applyAlignment="1">
      <alignment horizontal="center" vertical="center" wrapText="1"/>
    </xf>
    <xf numFmtId="0" fontId="14" fillId="0" borderId="9" xfId="0" applyFont="1" applyBorder="1">
      <alignment vertical="center"/>
    </xf>
    <xf numFmtId="0" fontId="14" fillId="0" borderId="16" xfId="0" applyFont="1" applyBorder="1">
      <alignment vertical="center"/>
    </xf>
    <xf numFmtId="0" fontId="14" fillId="0" borderId="2" xfId="0" applyFont="1" applyBorder="1">
      <alignment vertical="center"/>
    </xf>
    <xf numFmtId="0" fontId="25" fillId="0" borderId="33" xfId="0" applyFont="1" applyBorder="1" applyAlignment="1">
      <alignment horizontal="justify" vertical="top" wrapText="1"/>
    </xf>
    <xf numFmtId="0" fontId="14" fillId="0" borderId="0" xfId="0" applyFont="1">
      <alignment vertical="center"/>
    </xf>
    <xf numFmtId="0" fontId="14" fillId="0" borderId="0" xfId="0" applyFont="1" applyAlignment="1">
      <alignment horizontal="center" vertical="center"/>
    </xf>
    <xf numFmtId="0" fontId="14" fillId="0" borderId="9" xfId="0" applyFont="1" applyBorder="1" applyAlignment="1">
      <alignment horizontal="left" vertical="center"/>
    </xf>
    <xf numFmtId="0" fontId="14" fillId="0" borderId="9" xfId="0" applyFont="1" applyBorder="1" applyAlignment="1">
      <alignment horizontal="center" vertical="center"/>
    </xf>
    <xf numFmtId="0" fontId="14" fillId="0" borderId="9" xfId="0" applyFont="1" applyBorder="1" applyAlignment="1">
      <alignment horizontal="center" vertical="center" wrapText="1"/>
    </xf>
    <xf numFmtId="0" fontId="14" fillId="0" borderId="9" xfId="0" applyFont="1" applyBorder="1" applyAlignment="1">
      <alignment horizontal="justify" vertical="top" wrapText="1"/>
    </xf>
    <xf numFmtId="0" fontId="14" fillId="0" borderId="9" xfId="0" applyFont="1" applyBorder="1" applyAlignment="1">
      <alignment horizontal="right" vertical="center"/>
    </xf>
    <xf numFmtId="0" fontId="14" fillId="0" borderId="16" xfId="0" applyFont="1" applyBorder="1" applyAlignment="1">
      <alignment horizontal="center" vertical="center"/>
    </xf>
    <xf numFmtId="0" fontId="14" fillId="14" borderId="9" xfId="0" applyFont="1" applyFill="1" applyBorder="1" applyAlignment="1">
      <alignment horizontal="center" vertical="center" wrapText="1"/>
    </xf>
    <xf numFmtId="0" fontId="14" fillId="14" borderId="9" xfId="0" applyFont="1" applyFill="1" applyBorder="1" applyAlignment="1">
      <alignment horizontal="justify" vertical="top" wrapText="1"/>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14" fillId="0" borderId="0" xfId="0" applyFont="1" applyAlignment="1">
      <alignment vertical="center" wrapText="1"/>
    </xf>
    <xf numFmtId="0" fontId="14" fillId="4" borderId="9" xfId="0" applyFont="1" applyFill="1" applyBorder="1" applyAlignment="1">
      <alignment horizontal="justify" vertical="top" wrapText="1"/>
    </xf>
    <xf numFmtId="0" fontId="14" fillId="4" borderId="9" xfId="0" applyFont="1" applyFill="1" applyBorder="1" applyAlignment="1">
      <alignment horizontal="center" vertical="center" wrapText="1"/>
    </xf>
    <xf numFmtId="0" fontId="3" fillId="4" borderId="0" xfId="0" applyFont="1" applyFill="1" applyAlignment="1">
      <alignment horizontal="center" vertical="center" wrapText="1"/>
    </xf>
    <xf numFmtId="0" fontId="3" fillId="17" borderId="0" xfId="0" applyFont="1" applyFill="1" applyAlignment="1">
      <alignment horizontal="center" vertical="center" wrapText="1"/>
    </xf>
    <xf numFmtId="0" fontId="3" fillId="35" borderId="0" xfId="0" applyFont="1" applyFill="1" applyAlignment="1">
      <alignment horizontal="center" vertical="center" wrapText="1"/>
    </xf>
    <xf numFmtId="0" fontId="3" fillId="36" borderId="0" xfId="0" applyFont="1" applyFill="1" applyAlignment="1">
      <alignment horizontal="center" vertical="center" wrapText="1"/>
    </xf>
    <xf numFmtId="0" fontId="3" fillId="11" borderId="0" xfId="0" applyFont="1" applyFill="1" applyAlignment="1">
      <alignment horizontal="center" vertical="center" wrapText="1"/>
    </xf>
    <xf numFmtId="0" fontId="3" fillId="37" borderId="0" xfId="0" applyFont="1" applyFill="1" applyAlignment="1">
      <alignment horizontal="center" vertical="center" wrapText="1"/>
    </xf>
    <xf numFmtId="0" fontId="3" fillId="38" borderId="0" xfId="0" applyFont="1" applyFill="1" applyAlignment="1">
      <alignment horizontal="center" vertical="center" wrapText="1"/>
    </xf>
    <xf numFmtId="0" fontId="3" fillId="39" borderId="0" xfId="0" applyFont="1" applyFill="1" applyAlignment="1">
      <alignment horizontal="center" vertical="center" wrapText="1"/>
    </xf>
    <xf numFmtId="0" fontId="26" fillId="0" borderId="22" xfId="0" applyFont="1" applyBorder="1" applyAlignment="1">
      <alignment horizontal="center" vertical="center" wrapText="1"/>
    </xf>
    <xf numFmtId="0" fontId="26" fillId="0" borderId="25" xfId="0" applyFont="1" applyBorder="1" applyAlignment="1">
      <alignment horizontal="center" vertical="center" wrapText="1"/>
    </xf>
    <xf numFmtId="0" fontId="16" fillId="0" borderId="0" xfId="0" applyFont="1" applyAlignment="1">
      <alignment horizontal="center" vertical="top" wrapText="1"/>
    </xf>
    <xf numFmtId="0" fontId="9" fillId="0" borderId="24" xfId="0" applyFont="1" applyBorder="1" applyAlignment="1">
      <alignment horizontal="center" vertical="top" wrapText="1"/>
    </xf>
    <xf numFmtId="0" fontId="9" fillId="0" borderId="0" xfId="0" applyFont="1" applyAlignment="1">
      <alignment horizontal="center" vertical="top" wrapText="1"/>
    </xf>
    <xf numFmtId="0" fontId="10" fillId="0" borderId="0" xfId="0" applyFont="1" applyAlignment="1">
      <alignment horizontal="center" vertical="top" wrapText="1"/>
    </xf>
    <xf numFmtId="0" fontId="10" fillId="0" borderId="24" xfId="0" applyFont="1" applyBorder="1" applyAlignment="1">
      <alignment horizontal="center" vertical="top" wrapText="1"/>
    </xf>
    <xf numFmtId="0" fontId="3" fillId="0" borderId="21"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0" xfId="0" applyFont="1" applyAlignment="1">
      <alignment horizontal="center" vertical="center" wrapText="1"/>
    </xf>
    <xf numFmtId="0" fontId="26" fillId="0" borderId="24" xfId="0" applyFont="1" applyBorder="1" applyAlignment="1">
      <alignment horizontal="center" vertical="center" wrapText="1"/>
    </xf>
    <xf numFmtId="0" fontId="16" fillId="0" borderId="24" xfId="0" applyFont="1" applyBorder="1" applyAlignment="1">
      <alignment horizontal="center" vertical="top" wrapText="1"/>
    </xf>
    <xf numFmtId="0" fontId="3" fillId="4" borderId="21" xfId="0" applyFont="1" applyFill="1" applyBorder="1" applyAlignment="1">
      <alignment horizontal="center" vertical="center" wrapText="1"/>
    </xf>
    <xf numFmtId="0" fontId="3" fillId="17" borderId="21" xfId="0" applyFont="1" applyFill="1" applyBorder="1" applyAlignment="1">
      <alignment horizontal="center" vertical="center" wrapText="1"/>
    </xf>
    <xf numFmtId="0" fontId="3" fillId="35" borderId="21" xfId="0" applyFont="1" applyFill="1" applyBorder="1" applyAlignment="1">
      <alignment horizontal="center" vertical="center" wrapText="1"/>
    </xf>
    <xf numFmtId="0" fontId="3" fillId="36" borderId="21" xfId="0" applyFont="1" applyFill="1" applyBorder="1" applyAlignment="1">
      <alignment horizontal="center" vertical="center" wrapText="1"/>
    </xf>
    <xf numFmtId="0" fontId="3" fillId="40" borderId="21" xfId="0" applyFont="1" applyFill="1" applyBorder="1" applyAlignment="1">
      <alignment horizontal="center" vertical="center" wrapText="1"/>
    </xf>
    <xf numFmtId="0" fontId="3" fillId="23" borderId="21" xfId="0" applyFont="1" applyFill="1" applyBorder="1" applyAlignment="1">
      <alignment horizontal="center" vertical="center" wrapText="1"/>
    </xf>
    <xf numFmtId="0" fontId="26" fillId="0" borderId="27" xfId="0" applyFont="1" applyBorder="1" applyAlignment="1">
      <alignment horizontal="center" vertical="center" wrapText="1"/>
    </xf>
    <xf numFmtId="0" fontId="27" fillId="41" borderId="24" xfId="0" applyFont="1" applyFill="1" applyBorder="1" applyAlignment="1">
      <alignment horizontal="center" vertical="top" wrapText="1"/>
    </xf>
    <xf numFmtId="0" fontId="27" fillId="41" borderId="0" xfId="0" applyFont="1" applyFill="1" applyAlignment="1">
      <alignment horizontal="center" vertical="top" wrapText="1"/>
    </xf>
    <xf numFmtId="0" fontId="3" fillId="21" borderId="21" xfId="0" applyFont="1" applyFill="1" applyBorder="1" applyAlignment="1">
      <alignment horizontal="center" vertical="center" wrapText="1"/>
    </xf>
    <xf numFmtId="0" fontId="26" fillId="0" borderId="29" xfId="0" applyFont="1" applyBorder="1" applyAlignment="1">
      <alignment horizontal="center" vertical="center" wrapText="1"/>
    </xf>
    <xf numFmtId="0" fontId="26" fillId="0" borderId="31" xfId="0" applyFont="1" applyBorder="1" applyAlignment="1">
      <alignment horizontal="center" vertical="center" wrapText="1"/>
    </xf>
    <xf numFmtId="0" fontId="3" fillId="22" borderId="21" xfId="0" applyFont="1" applyFill="1" applyBorder="1" applyAlignment="1">
      <alignment horizontal="center" vertical="center" wrapText="1"/>
    </xf>
    <xf numFmtId="0" fontId="15" fillId="40" borderId="21" xfId="0" applyFont="1" applyFill="1" applyBorder="1" applyAlignment="1">
      <alignment horizontal="center" vertical="center" wrapText="1"/>
    </xf>
    <xf numFmtId="0" fontId="28" fillId="0" borderId="0" xfId="0" applyFont="1" applyAlignment="1">
      <alignment horizontal="center" vertical="center" wrapText="1"/>
    </xf>
    <xf numFmtId="0" fontId="3" fillId="11" borderId="21" xfId="0" applyFont="1" applyFill="1" applyBorder="1" applyAlignment="1">
      <alignment horizontal="center" vertical="center" wrapText="1"/>
    </xf>
    <xf numFmtId="0" fontId="3" fillId="13" borderId="21" xfId="0" applyFont="1" applyFill="1" applyBorder="1" applyAlignment="1">
      <alignment horizontal="center" vertical="center" wrapText="1"/>
    </xf>
    <xf numFmtId="0" fontId="3" fillId="39" borderId="21" xfId="0" applyFont="1" applyFill="1" applyBorder="1" applyAlignment="1">
      <alignment horizontal="center" vertical="center" wrapText="1"/>
    </xf>
    <xf numFmtId="0" fontId="3" fillId="38" borderId="21" xfId="0" applyFont="1" applyFill="1" applyBorder="1" applyAlignment="1">
      <alignment horizontal="center" vertical="center" wrapText="1"/>
    </xf>
    <xf numFmtId="0" fontId="26" fillId="0" borderId="30" xfId="0" applyFont="1" applyBorder="1" applyAlignment="1">
      <alignment horizontal="center" vertical="center" wrapText="1"/>
    </xf>
    <xf numFmtId="0" fontId="29" fillId="0" borderId="3" xfId="0" applyFont="1" applyBorder="1" applyAlignment="1">
      <alignment horizontal="center" vertical="top" wrapText="1"/>
    </xf>
    <xf numFmtId="0" fontId="29" fillId="0" borderId="4" xfId="0" applyFont="1" applyBorder="1" applyAlignment="1">
      <alignment horizontal="center" vertical="top" wrapText="1"/>
    </xf>
    <xf numFmtId="0" fontId="16" fillId="0" borderId="20" xfId="0" applyFont="1" applyBorder="1" applyAlignment="1">
      <alignment horizontal="center" vertical="top" wrapText="1"/>
    </xf>
    <xf numFmtId="0" fontId="16" fillId="0" borderId="2" xfId="0" applyFont="1" applyBorder="1" applyAlignment="1">
      <alignment horizontal="center" vertical="top" wrapText="1"/>
    </xf>
    <xf numFmtId="0" fontId="16" fillId="0" borderId="4" xfId="0" applyFont="1" applyBorder="1" applyAlignment="1">
      <alignment horizontal="center" vertical="top" wrapText="1"/>
    </xf>
    <xf numFmtId="0" fontId="16" fillId="0" borderId="19" xfId="0" applyFont="1" applyBorder="1" applyAlignment="1">
      <alignment horizontal="center" vertical="top" wrapText="1"/>
    </xf>
    <xf numFmtId="0" fontId="16" fillId="0" borderId="3" xfId="0" applyFont="1" applyBorder="1" applyAlignment="1">
      <alignment horizontal="center" vertical="top" wrapText="1"/>
    </xf>
    <xf numFmtId="0" fontId="16" fillId="0" borderId="7" xfId="0" applyFont="1" applyBorder="1" applyAlignment="1">
      <alignment horizontal="center" vertical="top" wrapText="1"/>
    </xf>
    <xf numFmtId="0" fontId="16" fillId="0" borderId="8" xfId="0" applyFont="1" applyBorder="1" applyAlignment="1">
      <alignment horizontal="center" vertical="top" wrapText="1"/>
    </xf>
    <xf numFmtId="0" fontId="16" fillId="0" borderId="1" xfId="0" applyFont="1" applyBorder="1" applyAlignment="1">
      <alignment horizontal="center" vertical="top" wrapText="1"/>
    </xf>
    <xf numFmtId="0" fontId="30" fillId="0" borderId="0" xfId="0" applyFont="1" applyAlignment="1">
      <alignment horizontal="center" vertical="center" wrapText="1"/>
    </xf>
    <xf numFmtId="0" fontId="30" fillId="10" borderId="27" xfId="0" applyFont="1" applyFill="1" applyBorder="1" applyAlignment="1">
      <alignment horizontal="center" vertical="center" wrapText="1"/>
    </xf>
    <xf numFmtId="0" fontId="30" fillId="10" borderId="39" xfId="0" applyFont="1" applyFill="1" applyBorder="1" applyAlignment="1">
      <alignment horizontal="center" vertical="center" wrapText="1"/>
    </xf>
    <xf numFmtId="0" fontId="30" fillId="10" borderId="0" xfId="0" applyFont="1" applyFill="1" applyAlignment="1">
      <alignment horizontal="center" vertical="center" wrapText="1"/>
    </xf>
    <xf numFmtId="0" fontId="30" fillId="0" borderId="24" xfId="0" applyFont="1" applyBorder="1" applyAlignment="1">
      <alignment horizontal="center" vertical="center" wrapText="1"/>
    </xf>
    <xf numFmtId="0" fontId="30" fillId="4" borderId="27" xfId="0" applyFont="1" applyFill="1" applyBorder="1" applyAlignment="1">
      <alignment horizontal="center" vertical="center" wrapText="1"/>
    </xf>
    <xf numFmtId="0" fontId="30" fillId="4" borderId="39" xfId="0" applyFont="1" applyFill="1" applyBorder="1" applyAlignment="1">
      <alignment horizontal="center" vertical="center" wrapText="1"/>
    </xf>
    <xf numFmtId="0" fontId="30" fillId="4" borderId="0" xfId="0" applyFont="1" applyFill="1" applyAlignment="1">
      <alignment horizontal="center" vertical="center" wrapText="1"/>
    </xf>
    <xf numFmtId="0" fontId="3" fillId="0" borderId="29" xfId="0" applyFont="1" applyBorder="1" applyAlignment="1">
      <alignment horizontal="center" vertical="center" wrapText="1"/>
    </xf>
    <xf numFmtId="0" fontId="30" fillId="18" borderId="0" xfId="0" applyFont="1" applyFill="1" applyAlignment="1">
      <alignment horizontal="center" vertical="center" wrapText="1"/>
    </xf>
    <xf numFmtId="0" fontId="30" fillId="18" borderId="39" xfId="0" applyFont="1" applyFill="1" applyBorder="1" applyAlignment="1">
      <alignment horizontal="center" vertical="center" wrapText="1"/>
    </xf>
    <xf numFmtId="0" fontId="30" fillId="23" borderId="0" xfId="0" applyFont="1" applyFill="1" applyAlignment="1">
      <alignment horizontal="center" vertical="center" wrapText="1"/>
    </xf>
    <xf numFmtId="0" fontId="30" fillId="23" borderId="39" xfId="0" applyFont="1" applyFill="1" applyBorder="1" applyAlignment="1">
      <alignment horizontal="center" vertical="center" wrapText="1"/>
    </xf>
    <xf numFmtId="0" fontId="30" fillId="18" borderId="27" xfId="0" applyFont="1" applyFill="1" applyBorder="1" applyAlignment="1">
      <alignment horizontal="center" vertical="center" wrapText="1"/>
    </xf>
    <xf numFmtId="0" fontId="3" fillId="0" borderId="40" xfId="0" applyFont="1" applyBorder="1" applyAlignment="1">
      <alignment horizontal="center" vertical="center" wrapText="1"/>
    </xf>
    <xf numFmtId="0" fontId="30" fillId="23" borderId="27" xfId="0" applyFont="1" applyFill="1" applyBorder="1" applyAlignment="1">
      <alignment horizontal="center" vertical="center" wrapText="1"/>
    </xf>
    <xf numFmtId="0" fontId="30" fillId="37" borderId="0" xfId="0" applyFont="1" applyFill="1" applyAlignment="1">
      <alignment horizontal="center" vertical="center" wrapText="1"/>
    </xf>
    <xf numFmtId="0" fontId="30" fillId="37" borderId="39" xfId="0" applyFont="1" applyFill="1" applyBorder="1" applyAlignment="1">
      <alignment horizontal="center" vertical="center" wrapText="1"/>
    </xf>
    <xf numFmtId="0" fontId="30" fillId="17" borderId="0" xfId="0" applyFont="1" applyFill="1" applyAlignment="1">
      <alignment horizontal="center" vertical="center" wrapText="1"/>
    </xf>
    <xf numFmtId="0" fontId="30" fillId="17" borderId="39" xfId="0" applyFont="1" applyFill="1" applyBorder="1" applyAlignment="1">
      <alignment horizontal="center" vertical="center" wrapText="1"/>
    </xf>
    <xf numFmtId="0" fontId="30" fillId="37" borderId="27" xfId="0" applyFont="1" applyFill="1" applyBorder="1" applyAlignment="1">
      <alignment horizontal="center" vertical="center" wrapText="1"/>
    </xf>
    <xf numFmtId="0" fontId="30" fillId="0" borderId="27" xfId="0" applyFont="1" applyBorder="1" applyAlignment="1">
      <alignment horizontal="center" vertical="center" wrapText="1"/>
    </xf>
    <xf numFmtId="0" fontId="30" fillId="26" borderId="0" xfId="0" applyFont="1" applyFill="1" applyAlignment="1">
      <alignment horizontal="center" vertical="center" wrapText="1"/>
    </xf>
    <xf numFmtId="0" fontId="30" fillId="26" borderId="39" xfId="0" applyFont="1" applyFill="1" applyBorder="1" applyAlignment="1">
      <alignment horizontal="center" vertical="center" wrapText="1"/>
    </xf>
    <xf numFmtId="0" fontId="30" fillId="0" borderId="30"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1" xfId="0" applyFont="1" applyBorder="1" applyAlignment="1">
      <alignment horizontal="center" vertical="center" wrapText="1"/>
    </xf>
    <xf numFmtId="0" fontId="3" fillId="0" borderId="33" xfId="0" applyFont="1" applyBorder="1" applyAlignment="1">
      <alignment horizontal="center" vertical="center" wrapText="1"/>
    </xf>
    <xf numFmtId="0" fontId="3" fillId="23" borderId="0" xfId="0" applyFont="1" applyFill="1" applyAlignment="1">
      <alignment horizontal="center" vertical="center" wrapText="1"/>
    </xf>
    <xf numFmtId="0" fontId="3" fillId="42" borderId="0" xfId="0" applyFont="1" applyFill="1" applyAlignment="1">
      <alignment horizontal="center" vertical="center" wrapText="1"/>
    </xf>
    <xf numFmtId="0" fontId="15" fillId="0" borderId="0" xfId="0" applyFont="1" applyAlignment="1">
      <alignment horizontal="center" vertical="center" wrapText="1"/>
    </xf>
    <xf numFmtId="0" fontId="15" fillId="39" borderId="0" xfId="0" applyFont="1" applyFill="1" applyAlignment="1">
      <alignment horizontal="center" vertical="center" wrapText="1"/>
    </xf>
    <xf numFmtId="0" fontId="15" fillId="37" borderId="0" xfId="0" applyFont="1" applyFill="1" applyAlignment="1">
      <alignment horizontal="center" vertical="center" wrapText="1"/>
    </xf>
    <xf numFmtId="0" fontId="10" fillId="0" borderId="0" xfId="0" applyFont="1" applyAlignment="1">
      <alignment horizontal="center" vertical="top"/>
    </xf>
    <xf numFmtId="0" fontId="10" fillId="0" borderId="8" xfId="0" applyFont="1" applyBorder="1" applyAlignment="1">
      <alignment horizontal="center" vertical="top"/>
    </xf>
    <xf numFmtId="0" fontId="10" fillId="0" borderId="1" xfId="0" applyFont="1" applyBorder="1" applyAlignment="1">
      <alignment horizontal="center" vertical="top"/>
    </xf>
    <xf numFmtId="0" fontId="0" fillId="0" borderId="9" xfId="0" applyBorder="1">
      <alignment vertical="center"/>
    </xf>
    <xf numFmtId="0" fontId="0" fillId="0" borderId="9" xfId="0" applyBorder="1" applyAlignment="1">
      <alignment horizontal="fill" vertical="center"/>
    </xf>
    <xf numFmtId="0" fontId="0" fillId="0" borderId="9" xfId="0" applyBorder="1" applyAlignment="1">
      <alignment horizontal="center" vertical="center" wrapText="1"/>
    </xf>
    <xf numFmtId="0" fontId="14" fillId="0" borderId="20" xfId="0" applyFont="1" applyBorder="1" applyAlignment="1">
      <alignment horizontal="center" vertical="center"/>
    </xf>
    <xf numFmtId="0" fontId="14" fillId="0" borderId="24" xfId="0" applyFont="1" applyBorder="1" applyAlignment="1">
      <alignment horizontal="center" vertical="center"/>
    </xf>
    <xf numFmtId="0" fontId="14" fillId="0" borderId="34" xfId="0" applyFont="1" applyBorder="1" applyAlignment="1">
      <alignment horizontal="center" vertical="center"/>
    </xf>
    <xf numFmtId="0" fontId="14" fillId="17" borderId="9" xfId="0" applyFont="1" applyFill="1" applyBorder="1" applyAlignment="1">
      <alignment horizontal="center" vertical="center"/>
    </xf>
    <xf numFmtId="0" fontId="31" fillId="0" borderId="20" xfId="0" applyFont="1" applyBorder="1" applyAlignment="1">
      <alignment horizontal="center" vertical="center" wrapText="1"/>
    </xf>
    <xf numFmtId="0" fontId="31" fillId="0" borderId="0" xfId="0" applyFont="1" applyAlignment="1">
      <alignment horizontal="center" vertical="center" wrapText="1"/>
    </xf>
    <xf numFmtId="0" fontId="0" fillId="0" borderId="34" xfId="0" applyBorder="1" applyAlignment="1">
      <alignment horizontal="center" vertical="center" wrapText="1"/>
    </xf>
    <xf numFmtId="0" fontId="14" fillId="10" borderId="9" xfId="0" applyFont="1" applyFill="1" applyBorder="1" applyAlignment="1">
      <alignment horizontal="center" vertical="center"/>
    </xf>
    <xf numFmtId="0" fontId="13" fillId="0" borderId="0" xfId="0" applyFont="1" applyAlignment="1">
      <alignment horizontal="center" vertical="center"/>
    </xf>
    <xf numFmtId="0" fontId="15" fillId="0" borderId="0" xfId="0" applyFont="1" applyAlignment="1">
      <alignment horizontal="center" vertical="top" wrapText="1"/>
    </xf>
    <xf numFmtId="0" fontId="3" fillId="0" borderId="0" xfId="0" applyFont="1" applyAlignment="1">
      <alignment horizontal="center" vertical="center"/>
    </xf>
    <xf numFmtId="0" fontId="14" fillId="13" borderId="9" xfId="0" applyFont="1" applyFill="1" applyBorder="1" applyAlignment="1">
      <alignment horizontal="center" vertical="center"/>
    </xf>
    <xf numFmtId="0" fontId="14" fillId="15" borderId="9" xfId="0" applyFont="1" applyFill="1" applyBorder="1" applyAlignment="1">
      <alignment horizontal="center" vertical="center"/>
    </xf>
    <xf numFmtId="0" fontId="14" fillId="23" borderId="9" xfId="0" applyFont="1" applyFill="1" applyBorder="1" applyAlignment="1">
      <alignment horizontal="center" vertical="center"/>
    </xf>
    <xf numFmtId="0" fontId="0" fillId="0" borderId="34" xfId="0" applyBorder="1" applyAlignment="1">
      <alignment vertical="center" wrapText="1"/>
    </xf>
    <xf numFmtId="0" fontId="0" fillId="0" borderId="35" xfId="0" applyBorder="1" applyAlignment="1">
      <alignment vertical="center" wrapText="1"/>
    </xf>
    <xf numFmtId="0" fontId="32" fillId="0" borderId="9" xfId="0" applyFont="1" applyBorder="1" applyAlignment="1">
      <alignment horizontal="center" vertical="center"/>
    </xf>
    <xf numFmtId="0" fontId="33" fillId="0" borderId="9" xfId="0" applyFont="1" applyBorder="1" applyAlignment="1">
      <alignment horizontal="center" vertical="center"/>
    </xf>
    <xf numFmtId="0" fontId="34" fillId="0" borderId="9" xfId="0" applyFont="1" applyBorder="1" applyAlignment="1">
      <alignment horizontal="center" vertical="center"/>
    </xf>
    <xf numFmtId="0" fontId="35" fillId="0" borderId="9" xfId="0" applyFont="1" applyBorder="1" applyAlignment="1">
      <alignment horizontal="center" vertical="center"/>
    </xf>
    <xf numFmtId="0" fontId="36" fillId="0" borderId="9" xfId="0" applyFont="1" applyBorder="1" applyAlignment="1">
      <alignment horizontal="center" vertical="center"/>
    </xf>
    <xf numFmtId="0" fontId="37" fillId="0" borderId="9" xfId="0" applyFont="1" applyBorder="1" applyAlignment="1">
      <alignment horizontal="center" vertical="center"/>
    </xf>
    <xf numFmtId="0" fontId="38" fillId="0" borderId="9" xfId="0" applyFont="1" applyBorder="1" applyAlignment="1">
      <alignment horizontal="center" vertical="center"/>
    </xf>
    <xf numFmtId="0" fontId="0" fillId="0" borderId="9" xfId="0" applyBorder="1" applyAlignment="1">
      <alignment horizontal="fill" vertical="center" wrapText="1"/>
    </xf>
    <xf numFmtId="49" fontId="10" fillId="0" borderId="19" xfId="0" applyNumberFormat="1" applyFont="1" applyBorder="1" applyAlignment="1">
      <alignment horizontal="center" vertical="top"/>
    </xf>
    <xf numFmtId="0" fontId="10" fillId="0" borderId="20" xfId="0" applyFont="1" applyBorder="1" applyAlignment="1">
      <alignment horizontal="center" vertical="top"/>
    </xf>
    <xf numFmtId="0" fontId="10" fillId="0" borderId="19" xfId="0" applyFont="1" applyBorder="1" applyAlignment="1">
      <alignment horizontal="center" vertical="top"/>
    </xf>
    <xf numFmtId="0" fontId="10" fillId="0" borderId="7" xfId="0" applyFont="1" applyBorder="1" applyAlignment="1">
      <alignment horizontal="center" vertical="top"/>
    </xf>
    <xf numFmtId="0" fontId="3" fillId="0" borderId="0" xfId="0" quotePrefix="1" applyFont="1" applyAlignment="1">
      <alignment horizontal="center" vertical="center" wrapText="1"/>
    </xf>
    <xf numFmtId="0" fontId="12" fillId="19" borderId="9" xfId="0" applyFont="1" applyFill="1" applyBorder="1" applyAlignment="1">
      <alignment horizontal="center" vertical="center" wrapText="1"/>
    </xf>
    <xf numFmtId="0" fontId="3" fillId="4" borderId="16" xfId="0" applyFont="1" applyFill="1" applyBorder="1" applyAlignment="1" applyProtection="1">
      <alignment horizontal="center" vertical="center" wrapText="1"/>
      <protection locked="0"/>
    </xf>
    <xf numFmtId="0" fontId="3" fillId="4" borderId="17" xfId="0" applyFont="1" applyFill="1" applyBorder="1" applyAlignment="1" applyProtection="1">
      <alignment horizontal="center" vertical="center" wrapText="1"/>
      <protection locked="0"/>
    </xf>
    <xf numFmtId="0" fontId="3" fillId="4" borderId="18" xfId="0" applyFont="1" applyFill="1" applyBorder="1" applyAlignment="1" applyProtection="1">
      <alignment horizontal="center" vertical="center" wrapText="1"/>
      <protection locked="0"/>
    </xf>
    <xf numFmtId="0" fontId="3" fillId="4" borderId="9" xfId="0" applyFont="1" applyFill="1" applyBorder="1" applyAlignment="1" applyProtection="1">
      <alignment horizontal="center" vertical="center" wrapText="1"/>
      <protection locked="0"/>
    </xf>
    <xf numFmtId="0" fontId="12" fillId="19" borderId="9" xfId="0" applyFont="1" applyFill="1" applyBorder="1" applyAlignment="1">
      <alignment horizontal="center" vertical="center"/>
    </xf>
    <xf numFmtId="0" fontId="12" fillId="12" borderId="0" xfId="0" applyFont="1" applyFill="1" applyAlignment="1">
      <alignment horizontal="center" vertical="center"/>
    </xf>
    <xf numFmtId="0" fontId="3" fillId="4" borderId="9" xfId="0" applyFont="1" applyFill="1" applyBorder="1" applyAlignment="1" applyProtection="1">
      <alignment horizontal="left" vertical="top" wrapText="1"/>
      <protection locked="0"/>
    </xf>
    <xf numFmtId="0" fontId="3" fillId="14" borderId="9" xfId="0" applyFont="1" applyFill="1" applyBorder="1" applyAlignment="1" applyProtection="1">
      <alignment horizontal="left" vertical="top" wrapText="1"/>
      <protection locked="0"/>
    </xf>
    <xf numFmtId="0" fontId="3" fillId="14" borderId="9" xfId="0" applyFont="1" applyFill="1" applyBorder="1" applyAlignment="1" applyProtection="1">
      <alignment horizontal="center" vertical="center" wrapText="1"/>
      <protection locked="0"/>
    </xf>
    <xf numFmtId="0" fontId="3" fillId="4" borderId="2" xfId="0" applyFont="1" applyFill="1" applyBorder="1" applyAlignment="1" applyProtection="1">
      <alignment horizontal="left" vertical="top" wrapText="1"/>
      <protection locked="0"/>
    </xf>
    <xf numFmtId="0" fontId="3" fillId="4" borderId="3" xfId="0" applyFont="1" applyFill="1" applyBorder="1" applyAlignment="1" applyProtection="1">
      <alignment horizontal="left" vertical="top" wrapText="1"/>
      <protection locked="0"/>
    </xf>
    <xf numFmtId="0" fontId="3" fillId="4" borderId="4" xfId="0" applyFont="1" applyFill="1" applyBorder="1" applyAlignment="1" applyProtection="1">
      <alignment horizontal="left" vertical="top" wrapText="1"/>
      <protection locked="0"/>
    </xf>
    <xf numFmtId="0" fontId="3" fillId="4" borderId="7" xfId="0" applyFont="1" applyFill="1" applyBorder="1" applyAlignment="1" applyProtection="1">
      <alignment horizontal="left" vertical="top" wrapText="1"/>
      <protection locked="0"/>
    </xf>
    <xf numFmtId="0" fontId="3" fillId="4" borderId="1" xfId="0" applyFont="1" applyFill="1" applyBorder="1" applyAlignment="1" applyProtection="1">
      <alignment horizontal="left" vertical="top" wrapText="1"/>
      <protection locked="0"/>
    </xf>
    <xf numFmtId="0" fontId="3" fillId="4" borderId="8" xfId="0" applyFont="1" applyFill="1" applyBorder="1" applyAlignment="1" applyProtection="1">
      <alignment horizontal="left" vertical="top" wrapText="1"/>
      <protection locked="0"/>
    </xf>
    <xf numFmtId="0" fontId="39" fillId="19" borderId="9" xfId="0" applyFont="1" applyFill="1" applyBorder="1" applyAlignment="1">
      <alignment horizontal="center" vertical="center" wrapText="1"/>
    </xf>
    <xf numFmtId="0" fontId="3" fillId="4" borderId="9" xfId="0" applyFont="1" applyFill="1" applyBorder="1" applyAlignment="1" applyProtection="1">
      <alignment horizontal="center" vertical="center"/>
      <protection locked="0"/>
    </xf>
    <xf numFmtId="0" fontId="3" fillId="4" borderId="19" xfId="0" applyFont="1" applyFill="1" applyBorder="1" applyAlignment="1" applyProtection="1">
      <alignment horizontal="left" vertical="top" wrapText="1"/>
      <protection locked="0"/>
    </xf>
    <xf numFmtId="0" fontId="3" fillId="4" borderId="0" xfId="0" applyFont="1" applyFill="1" applyAlignment="1" applyProtection="1">
      <alignment horizontal="left" vertical="top" wrapText="1"/>
      <protection locked="0"/>
    </xf>
    <xf numFmtId="0" fontId="3" fillId="4" borderId="20" xfId="0" applyFont="1" applyFill="1" applyBorder="1" applyAlignment="1" applyProtection="1">
      <alignment horizontal="left" vertical="top" wrapText="1"/>
      <protection locked="0"/>
    </xf>
    <xf numFmtId="0" fontId="14" fillId="0" borderId="0" xfId="0" applyFont="1" applyAlignment="1">
      <alignment horizontal="center" vertical="center"/>
    </xf>
    <xf numFmtId="0" fontId="14" fillId="0" borderId="9" xfId="0" applyFont="1" applyBorder="1" applyAlignment="1">
      <alignment horizontal="center" vertical="center"/>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4" fillId="14" borderId="9" xfId="0" applyFont="1" applyFill="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3" xfId="0" applyFont="1" applyBorder="1" applyAlignment="1">
      <alignment vertical="center" wrapText="1"/>
    </xf>
    <xf numFmtId="0" fontId="14" fillId="0" borderId="35" xfId="0" applyFont="1" applyBorder="1" applyAlignment="1">
      <alignment vertical="center" wrapText="1"/>
    </xf>
    <xf numFmtId="0" fontId="14" fillId="0" borderId="34" xfId="0" applyFont="1" applyBorder="1" applyAlignment="1">
      <alignment vertical="center" wrapText="1"/>
    </xf>
    <xf numFmtId="0" fontId="0" fillId="0" borderId="22" xfId="0" applyBorder="1" applyAlignment="1">
      <alignment horizontal="center" vertical="center" wrapText="1"/>
    </xf>
    <xf numFmtId="0" fontId="11" fillId="0" borderId="23" xfId="1" applyBorder="1" applyAlignment="1">
      <alignment horizontal="center" vertical="center" wrapText="1"/>
    </xf>
    <xf numFmtId="0" fontId="11" fillId="0" borderId="22" xfId="1" applyBorder="1" applyAlignment="1">
      <alignment horizontal="center" vertical="center" wrapText="1"/>
    </xf>
    <xf numFmtId="0" fontId="11" fillId="0" borderId="25" xfId="1" applyBorder="1" applyAlignment="1">
      <alignment horizontal="center" vertical="center" wrapText="1"/>
    </xf>
    <xf numFmtId="0" fontId="11" fillId="0" borderId="27" xfId="1" applyBorder="1" applyAlignment="1">
      <alignment horizontal="center" vertical="center" wrapText="1"/>
    </xf>
    <xf numFmtId="0" fontId="11" fillId="24" borderId="27" xfId="1" applyFill="1" applyBorder="1" applyAlignment="1">
      <alignment horizontal="center" vertical="center" wrapText="1"/>
    </xf>
    <xf numFmtId="0" fontId="11" fillId="25" borderId="27" xfId="1" applyFill="1" applyBorder="1" applyAlignment="1">
      <alignment horizontal="center" vertical="center" wrapText="1"/>
    </xf>
    <xf numFmtId="0" fontId="11" fillId="11" borderId="27" xfId="1" applyFill="1" applyBorder="1" applyAlignment="1">
      <alignment horizontal="center" vertical="center" wrapText="1"/>
    </xf>
    <xf numFmtId="0" fontId="11" fillId="26" borderId="27" xfId="1" applyFill="1" applyBorder="1" applyAlignment="1">
      <alignment horizontal="center" vertical="center" wrapText="1"/>
    </xf>
    <xf numFmtId="0" fontId="11" fillId="6" borderId="27" xfId="1" applyFill="1" applyBorder="1" applyAlignment="1">
      <alignment horizontal="center" vertical="center" wrapText="1"/>
    </xf>
    <xf numFmtId="0" fontId="11" fillId="9" borderId="27" xfId="1" applyFill="1" applyBorder="1" applyAlignment="1">
      <alignment horizontal="center" vertical="center" wrapText="1"/>
    </xf>
    <xf numFmtId="0" fontId="11" fillId="27" borderId="27" xfId="1" applyFill="1" applyBorder="1" applyAlignment="1">
      <alignment horizontal="center" vertical="center" wrapText="1"/>
    </xf>
    <xf numFmtId="0" fontId="0" fillId="28" borderId="27" xfId="0" applyFill="1" applyBorder="1" applyAlignment="1">
      <alignment horizontal="center" vertical="center" wrapText="1"/>
    </xf>
    <xf numFmtId="0" fontId="0" fillId="29" borderId="27" xfId="0" applyFill="1" applyBorder="1" applyAlignment="1">
      <alignment horizontal="center" vertical="center" wrapText="1"/>
    </xf>
    <xf numFmtId="0" fontId="0" fillId="30" borderId="27" xfId="0" applyFill="1" applyBorder="1" applyAlignment="1">
      <alignment horizontal="center" vertical="center" wrapText="1"/>
    </xf>
    <xf numFmtId="0" fontId="0" fillId="7" borderId="27" xfId="0" applyFill="1" applyBorder="1" applyAlignment="1">
      <alignment horizontal="center" vertical="center" wrapText="1"/>
    </xf>
    <xf numFmtId="0" fontId="11" fillId="0" borderId="30" xfId="1" applyBorder="1" applyAlignment="1">
      <alignment horizontal="center"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4" borderId="9" xfId="0" applyFont="1" applyFill="1" applyBorder="1" applyAlignment="1">
      <alignment horizontal="left" vertical="center"/>
    </xf>
    <xf numFmtId="0" fontId="3" fillId="4" borderId="9" xfId="0" applyFont="1" applyFill="1" applyBorder="1" applyAlignment="1">
      <alignment horizontal="center" vertical="center"/>
    </xf>
    <xf numFmtId="0" fontId="3" fillId="4" borderId="0" xfId="0" applyFont="1" applyFill="1" applyAlignment="1">
      <alignment horizontal="center" vertical="center"/>
    </xf>
    <xf numFmtId="0" fontId="6" fillId="4" borderId="0" xfId="0" applyFont="1" applyFill="1" applyAlignment="1">
      <alignment horizontal="center" vertical="center"/>
    </xf>
    <xf numFmtId="0" fontId="4" fillId="4" borderId="0" xfId="0" applyFont="1" applyFill="1" applyAlignment="1">
      <alignment horizontal="center" vertical="center"/>
    </xf>
    <xf numFmtId="0" fontId="7" fillId="5" borderId="16"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18" xfId="0"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0" borderId="5"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8" fillId="0" borderId="0" xfId="0" applyFont="1" applyAlignment="1">
      <alignment horizontal="center" vertic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wrapText="1"/>
    </xf>
    <xf numFmtId="0" fontId="5" fillId="0" borderId="6" xfId="0" applyFont="1" applyBorder="1" applyAlignment="1">
      <alignment horizontal="center" vertical="center" wrapText="1"/>
    </xf>
    <xf numFmtId="0" fontId="4" fillId="0" borderId="6" xfId="0" applyFont="1" applyBorder="1" applyAlignment="1">
      <alignment horizontal="center" vertical="center" wrapText="1"/>
    </xf>
  </cellXfs>
  <cellStyles count="3">
    <cellStyle name="常规" xfId="0" builtinId="0"/>
    <cellStyle name="常规 2" xfId="1" xr:uid="{00000000-0005-0000-0000-000031000000}"/>
    <cellStyle name="常规 3" xfId="2" xr:uid="{00000000-0005-0000-0000-000032000000}"/>
  </cellStyles>
  <dxfs count="15">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F7F7EB"/>
      <color rgb="FF00FFFF"/>
      <color rgb="FFFFF2CC"/>
      <color rgb="FFFFFF66"/>
      <color rgb="FF00FF00"/>
      <color rgb="FFFFFF99"/>
      <color rgb="FFFF3300"/>
      <color rgb="FFBDFFBD"/>
      <color rgb="FFEFE4F7"/>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wmf"/><Relationship Id="rId2" Type="http://schemas.openxmlformats.org/officeDocument/2006/relationships/image" Target="../media/image3.wmf"/><Relationship Id="rId1" Type="http://schemas.openxmlformats.org/officeDocument/2006/relationships/image" Target="../media/image2.png"/><Relationship Id="rId4" Type="http://schemas.openxmlformats.org/officeDocument/2006/relationships/image" Target="../media/image5.wmf"/></Relationships>
</file>

<file path=xl/drawings/drawing1.xml><?xml version="1.0" encoding="utf-8"?>
<xdr:wsDr xmlns:xdr="http://schemas.openxmlformats.org/drawingml/2006/spreadsheetDrawing" xmlns:a="http://schemas.openxmlformats.org/drawingml/2006/main">
  <xdr:twoCellAnchor editAs="oneCell">
    <xdr:from>
      <xdr:col>1</xdr:col>
      <xdr:colOff>92529</xdr:colOff>
      <xdr:row>25</xdr:row>
      <xdr:rowOff>6279</xdr:rowOff>
    </xdr:from>
    <xdr:to>
      <xdr:col>14</xdr:col>
      <xdr:colOff>108857</xdr:colOff>
      <xdr:row>35</xdr:row>
      <xdr:rowOff>201386</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32162"/>
        <a:stretch>
          <a:fillRect/>
        </a:stretch>
      </xdr:blipFill>
      <xdr:spPr>
        <a:xfrm>
          <a:off x="282575" y="5403215"/>
          <a:ext cx="2493010" cy="2354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12700</xdr:colOff>
      <xdr:row>5</xdr:row>
      <xdr:rowOff>25400</xdr:rowOff>
    </xdr:from>
    <xdr:to>
      <xdr:col>42</xdr:col>
      <xdr:colOff>3175</xdr:colOff>
      <xdr:row>7</xdr:row>
      <xdr:rowOff>1270</xdr:rowOff>
    </xdr:to>
    <xdr:pic>
      <xdr:nvPicPr>
        <xdr:cNvPr id="5" name="图片 4" descr="Sintiacutetulo-7_zpsfea275e0">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1"/>
        <a:stretch>
          <a:fillRect/>
        </a:stretch>
      </xdr:blipFill>
      <xdr:spPr>
        <a:xfrm>
          <a:off x="7277100" y="1073150"/>
          <a:ext cx="353695" cy="394970"/>
        </a:xfrm>
        <a:prstGeom prst="rect">
          <a:avLst/>
        </a:prstGeom>
      </xdr:spPr>
    </xdr:pic>
    <xdr:clientData/>
  </xdr:twoCellAnchor>
  <xdr:twoCellAnchor editAs="oneCell">
    <xdr:from>
      <xdr:col>40</xdr:col>
      <xdr:colOff>12700</xdr:colOff>
      <xdr:row>11</xdr:row>
      <xdr:rowOff>25400</xdr:rowOff>
    </xdr:from>
    <xdr:to>
      <xdr:col>42</xdr:col>
      <xdr:colOff>5080</xdr:colOff>
      <xdr:row>12</xdr:row>
      <xdr:rowOff>200660</xdr:rowOff>
    </xdr:to>
    <xdr:pic>
      <xdr:nvPicPr>
        <xdr:cNvPr id="6" name="图片 5">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2"/>
        <a:stretch>
          <a:fillRect/>
        </a:stretch>
      </xdr:blipFill>
      <xdr:spPr>
        <a:xfrm>
          <a:off x="7277100" y="2330450"/>
          <a:ext cx="355600" cy="384810"/>
        </a:xfrm>
        <a:prstGeom prst="rect">
          <a:avLst/>
        </a:prstGeom>
        <a:noFill/>
        <a:ln w="9525">
          <a:noFill/>
        </a:ln>
      </xdr:spPr>
    </xdr:pic>
    <xdr:clientData/>
  </xdr:twoCellAnchor>
  <xdr:twoCellAnchor editAs="oneCell">
    <xdr:from>
      <xdr:col>40</xdr:col>
      <xdr:colOff>12700</xdr:colOff>
      <xdr:row>13</xdr:row>
      <xdr:rowOff>15875</xdr:rowOff>
    </xdr:from>
    <xdr:to>
      <xdr:col>42</xdr:col>
      <xdr:colOff>5080</xdr:colOff>
      <xdr:row>14</xdr:row>
      <xdr:rowOff>198755</xdr:rowOff>
    </xdr:to>
    <xdr:pic>
      <xdr:nvPicPr>
        <xdr:cNvPr id="7" name="图片 6">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3"/>
        <a:stretch>
          <a:fillRect/>
        </a:stretch>
      </xdr:blipFill>
      <xdr:spPr>
        <a:xfrm>
          <a:off x="7277100" y="2740025"/>
          <a:ext cx="355600" cy="392430"/>
        </a:xfrm>
        <a:prstGeom prst="rect">
          <a:avLst/>
        </a:prstGeom>
        <a:noFill/>
        <a:ln w="9525">
          <a:noFill/>
        </a:ln>
      </xdr:spPr>
    </xdr:pic>
    <xdr:clientData/>
  </xdr:twoCellAnchor>
  <xdr:twoCellAnchor editAs="oneCell">
    <xdr:from>
      <xdr:col>40</xdr:col>
      <xdr:colOff>12700</xdr:colOff>
      <xdr:row>2</xdr:row>
      <xdr:rowOff>12700</xdr:rowOff>
    </xdr:from>
    <xdr:to>
      <xdr:col>42</xdr:col>
      <xdr:colOff>8890</xdr:colOff>
      <xdr:row>4</xdr:row>
      <xdr:rowOff>11430</xdr:rowOff>
    </xdr:to>
    <xdr:pic>
      <xdr:nvPicPr>
        <xdr:cNvPr id="2" name="图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4"/>
        <a:stretch>
          <a:fillRect/>
        </a:stretch>
      </xdr:blipFill>
      <xdr:spPr>
        <a:xfrm>
          <a:off x="7277100" y="431800"/>
          <a:ext cx="359410" cy="41783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dnd5e&#20154;&#29289;&#21345;&#27169;&#26495;v1.83&#947;%20ff.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角色"/>
      <sheetName val="主要情况"/>
      <sheetName val="背包"/>
      <sheetName val="施法"/>
      <sheetName val="法术大全"/>
      <sheetName val="图表"/>
      <sheetName val="属性计算器&amp;自定义调整栏"/>
      <sheetName val="导入海豹骰或梨骰"/>
      <sheetName val="更新日志&amp;在线更新"/>
      <sheetName val="录卡"/>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U36"/>
  <sheetViews>
    <sheetView tabSelected="1" topLeftCell="A7" workbookViewId="0">
      <selection activeCell="I22" sqref="I22:O22"/>
    </sheetView>
  </sheetViews>
  <sheetFormatPr defaultColWidth="2.77734375" defaultRowHeight="16.95" customHeight="1" x14ac:dyDescent="0.25"/>
  <cols>
    <col min="1" max="16384" width="2.77734375" style="5"/>
  </cols>
  <sheetData>
    <row r="1" spans="1:47" ht="16.95" customHeight="1" x14ac:dyDescent="0.25">
      <c r="A1" s="258" t="s">
        <v>0</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258"/>
      <c r="AR1" s="258"/>
      <c r="AS1" s="258"/>
      <c r="AT1" s="258"/>
      <c r="AU1" s="258"/>
    </row>
    <row r="3" spans="1:47" ht="16.95" customHeight="1" x14ac:dyDescent="0.25">
      <c r="B3" s="252" t="s">
        <v>1</v>
      </c>
      <c r="C3" s="252"/>
      <c r="D3" s="252"/>
      <c r="E3" s="256" t="s">
        <v>2</v>
      </c>
      <c r="F3" s="256"/>
      <c r="G3" s="256"/>
      <c r="H3" s="256"/>
      <c r="I3" s="256"/>
      <c r="J3" s="256"/>
      <c r="K3" s="256"/>
      <c r="L3" s="256"/>
      <c r="M3" s="256"/>
      <c r="N3" s="256"/>
      <c r="O3" s="256"/>
      <c r="Q3" s="257" t="s">
        <v>3</v>
      </c>
      <c r="R3" s="257"/>
      <c r="S3" s="257"/>
      <c r="T3" s="257"/>
      <c r="U3" s="259" t="s">
        <v>4</v>
      </c>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row>
    <row r="4" spans="1:47" ht="16.95" customHeight="1" x14ac:dyDescent="0.25">
      <c r="B4" s="252" t="s">
        <v>5</v>
      </c>
      <c r="C4" s="252"/>
      <c r="D4" s="252"/>
      <c r="E4" s="256" t="s">
        <v>6</v>
      </c>
      <c r="F4" s="256"/>
      <c r="G4" s="256"/>
      <c r="H4" s="256"/>
      <c r="I4" s="256"/>
      <c r="J4" s="256"/>
      <c r="K4" s="256"/>
      <c r="L4" s="256"/>
      <c r="M4" s="256"/>
      <c r="N4" s="256"/>
      <c r="O4" s="256"/>
      <c r="Q4" s="257"/>
      <c r="R4" s="257"/>
      <c r="S4" s="257"/>
      <c r="T4" s="257"/>
      <c r="U4" s="260" t="s">
        <v>7</v>
      </c>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row>
    <row r="5" spans="1:47" ht="16.95" customHeight="1" x14ac:dyDescent="0.25">
      <c r="B5" s="252" t="s">
        <v>8</v>
      </c>
      <c r="C5" s="252"/>
      <c r="D5" s="252"/>
      <c r="E5" s="256" t="s">
        <v>9</v>
      </c>
      <c r="F5" s="256"/>
      <c r="G5" s="256"/>
      <c r="H5" s="256"/>
      <c r="I5" s="256"/>
      <c r="J5" s="256"/>
      <c r="K5" s="256"/>
      <c r="L5" s="256"/>
      <c r="M5" s="256"/>
      <c r="N5" s="256"/>
      <c r="O5" s="256"/>
      <c r="Q5" s="257" t="s">
        <v>10</v>
      </c>
      <c r="R5" s="257"/>
      <c r="S5" s="257"/>
      <c r="T5" s="257"/>
      <c r="U5" s="259" t="s">
        <v>11</v>
      </c>
      <c r="V5" s="259"/>
      <c r="W5" s="259"/>
      <c r="X5" s="259"/>
      <c r="Y5" s="259"/>
      <c r="Z5" s="259"/>
      <c r="AA5" s="259"/>
      <c r="AB5" s="259"/>
      <c r="AC5" s="259"/>
      <c r="AD5" s="259"/>
      <c r="AE5" s="259"/>
      <c r="AF5" s="259"/>
      <c r="AG5" s="259"/>
      <c r="AH5" s="259"/>
      <c r="AI5" s="259"/>
      <c r="AJ5" s="259"/>
      <c r="AK5" s="259"/>
      <c r="AL5" s="259"/>
      <c r="AM5" s="259"/>
      <c r="AN5" s="259"/>
      <c r="AO5" s="259"/>
      <c r="AP5" s="259"/>
      <c r="AQ5" s="259"/>
      <c r="AR5" s="259"/>
      <c r="AS5" s="259"/>
      <c r="AT5" s="259"/>
    </row>
    <row r="6" spans="1:47" ht="16.95" customHeight="1" x14ac:dyDescent="0.25">
      <c r="B6" s="252" t="s">
        <v>12</v>
      </c>
      <c r="C6" s="252"/>
      <c r="D6" s="252"/>
      <c r="E6" s="256" t="s">
        <v>13</v>
      </c>
      <c r="F6" s="256"/>
      <c r="G6" s="256"/>
      <c r="H6" s="256"/>
      <c r="I6" s="256"/>
      <c r="J6" s="256"/>
      <c r="K6" s="256"/>
      <c r="L6" s="256"/>
      <c r="M6" s="256"/>
      <c r="N6" s="256"/>
      <c r="O6" s="256"/>
      <c r="Q6" s="257" t="s">
        <v>14</v>
      </c>
      <c r="R6" s="257"/>
      <c r="S6" s="257"/>
      <c r="T6" s="257"/>
      <c r="U6" s="260" t="s">
        <v>15</v>
      </c>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row>
    <row r="7" spans="1:47" ht="16.95" customHeight="1" x14ac:dyDescent="0.25">
      <c r="Q7" s="257" t="s">
        <v>16</v>
      </c>
      <c r="R7" s="257"/>
      <c r="S7" s="257"/>
      <c r="T7" s="257"/>
      <c r="U7" s="259" t="s">
        <v>17</v>
      </c>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row>
    <row r="8" spans="1:47" ht="16.95" customHeight="1" x14ac:dyDescent="0.25">
      <c r="B8" s="252" t="s">
        <v>18</v>
      </c>
      <c r="C8" s="252"/>
      <c r="D8" s="252"/>
      <c r="E8" s="253">
        <v>345</v>
      </c>
      <c r="F8" s="254"/>
      <c r="G8" s="254"/>
      <c r="H8" s="255"/>
      <c r="I8" s="252" t="s">
        <v>19</v>
      </c>
      <c r="J8" s="252"/>
      <c r="K8" s="252"/>
      <c r="L8" s="253" t="s">
        <v>20</v>
      </c>
      <c r="M8" s="254"/>
      <c r="N8" s="254"/>
      <c r="O8" s="255"/>
    </row>
    <row r="9" spans="1:47" ht="16.95" customHeight="1" x14ac:dyDescent="0.25">
      <c r="B9" s="252" t="s">
        <v>21</v>
      </c>
      <c r="C9" s="252"/>
      <c r="D9" s="252"/>
      <c r="E9" s="253" t="s">
        <v>22</v>
      </c>
      <c r="F9" s="254"/>
      <c r="G9" s="254"/>
      <c r="H9" s="255"/>
      <c r="I9" s="252" t="s">
        <v>23</v>
      </c>
      <c r="J9" s="252"/>
      <c r="K9" s="252"/>
      <c r="L9" s="253" t="s">
        <v>24</v>
      </c>
      <c r="M9" s="254"/>
      <c r="N9" s="254"/>
      <c r="O9" s="255"/>
      <c r="Q9" s="252" t="s">
        <v>25</v>
      </c>
      <c r="R9" s="252"/>
      <c r="S9" s="252"/>
      <c r="T9" s="252"/>
      <c r="U9" s="262" t="s">
        <v>26</v>
      </c>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4"/>
    </row>
    <row r="10" spans="1:47" ht="16.95" customHeight="1" x14ac:dyDescent="0.25">
      <c r="B10" s="252" t="s">
        <v>27</v>
      </c>
      <c r="C10" s="252"/>
      <c r="D10" s="252"/>
      <c r="E10" s="253" t="s">
        <v>28</v>
      </c>
      <c r="F10" s="254"/>
      <c r="G10" s="254"/>
      <c r="H10" s="255"/>
      <c r="I10" s="252" t="s">
        <v>29</v>
      </c>
      <c r="J10" s="252"/>
      <c r="K10" s="252"/>
      <c r="L10" s="253" t="s">
        <v>30</v>
      </c>
      <c r="M10" s="254"/>
      <c r="N10" s="254"/>
      <c r="O10" s="255"/>
      <c r="Q10" s="252"/>
      <c r="R10" s="252"/>
      <c r="S10" s="252"/>
      <c r="T10" s="252"/>
      <c r="U10" s="265"/>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7"/>
    </row>
    <row r="11" spans="1:47" ht="16.95" customHeight="1" x14ac:dyDescent="0.25">
      <c r="B11" s="252" t="s">
        <v>31</v>
      </c>
      <c r="C11" s="252"/>
      <c r="D11" s="252"/>
      <c r="E11" s="256" t="s">
        <v>32</v>
      </c>
      <c r="F11" s="256"/>
      <c r="G11" s="256"/>
      <c r="H11" s="256"/>
      <c r="I11" s="252" t="s">
        <v>33</v>
      </c>
      <c r="J11" s="252"/>
      <c r="K11" s="252"/>
      <c r="L11" s="256" t="s">
        <v>34</v>
      </c>
      <c r="M11" s="256"/>
      <c r="N11" s="256"/>
      <c r="O11" s="256"/>
    </row>
    <row r="12" spans="1:47" ht="16.95" customHeight="1" x14ac:dyDescent="0.25">
      <c r="Q12" s="257" t="s">
        <v>35</v>
      </c>
      <c r="R12" s="257"/>
      <c r="S12" s="257"/>
      <c r="T12" s="257"/>
      <c r="U12" s="262" t="s">
        <v>36</v>
      </c>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4"/>
    </row>
    <row r="13" spans="1:47" ht="16.95" customHeight="1" x14ac:dyDescent="0.25">
      <c r="B13" s="252" t="s">
        <v>37</v>
      </c>
      <c r="C13" s="252"/>
      <c r="D13" s="252"/>
      <c r="E13" s="252"/>
      <c r="F13" s="252"/>
      <c r="G13" s="252"/>
      <c r="H13" s="252"/>
      <c r="I13" s="252"/>
      <c r="J13" s="252"/>
      <c r="K13" s="252"/>
      <c r="L13" s="252"/>
      <c r="M13" s="252"/>
      <c r="N13" s="252"/>
      <c r="O13" s="252"/>
      <c r="Q13" s="257"/>
      <c r="R13" s="257"/>
      <c r="S13" s="257"/>
      <c r="T13" s="257"/>
      <c r="U13" s="270"/>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2"/>
    </row>
    <row r="14" spans="1:47" ht="16.95" customHeight="1" x14ac:dyDescent="0.25">
      <c r="B14" s="256" t="s">
        <v>38</v>
      </c>
      <c r="C14" s="256"/>
      <c r="D14" s="256"/>
      <c r="E14" s="256"/>
      <c r="F14" s="256"/>
      <c r="G14" s="256"/>
      <c r="H14" s="256"/>
      <c r="I14" s="256" t="s">
        <v>39</v>
      </c>
      <c r="J14" s="256"/>
      <c r="K14" s="256"/>
      <c r="L14" s="256"/>
      <c r="M14" s="256"/>
      <c r="N14" s="256"/>
      <c r="O14" s="256"/>
      <c r="Q14" s="257"/>
      <c r="R14" s="257"/>
      <c r="S14" s="257"/>
      <c r="T14" s="257"/>
      <c r="U14" s="270"/>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2"/>
    </row>
    <row r="15" spans="1:47" ht="16.95" customHeight="1" x14ac:dyDescent="0.25">
      <c r="B15" s="261" t="s">
        <v>40</v>
      </c>
      <c r="C15" s="261"/>
      <c r="D15" s="261"/>
      <c r="E15" s="261"/>
      <c r="F15" s="261"/>
      <c r="G15" s="261"/>
      <c r="H15" s="261"/>
      <c r="I15" s="261" t="s">
        <v>41</v>
      </c>
      <c r="J15" s="261"/>
      <c r="K15" s="261"/>
      <c r="L15" s="261"/>
      <c r="M15" s="261"/>
      <c r="N15" s="261"/>
      <c r="O15" s="261"/>
      <c r="Q15" s="257"/>
      <c r="R15" s="257"/>
      <c r="S15" s="257"/>
      <c r="T15" s="257"/>
      <c r="U15" s="270"/>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2"/>
    </row>
    <row r="16" spans="1:47" ht="16.95" customHeight="1" x14ac:dyDescent="0.25">
      <c r="B16" s="256"/>
      <c r="C16" s="256"/>
      <c r="D16" s="256"/>
      <c r="E16" s="256"/>
      <c r="F16" s="256"/>
      <c r="G16" s="256"/>
      <c r="H16" s="256"/>
      <c r="I16" s="256"/>
      <c r="J16" s="256"/>
      <c r="K16" s="256"/>
      <c r="L16" s="256"/>
      <c r="M16" s="256"/>
      <c r="N16" s="256"/>
      <c r="O16" s="256"/>
      <c r="Q16" s="257"/>
      <c r="R16" s="257"/>
      <c r="S16" s="257"/>
      <c r="T16" s="257"/>
      <c r="U16" s="265"/>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7"/>
    </row>
    <row r="17" spans="2:46" ht="16.95" customHeight="1" x14ac:dyDescent="0.25">
      <c r="B17" s="261"/>
      <c r="C17" s="261"/>
      <c r="D17" s="261"/>
      <c r="E17" s="261"/>
      <c r="F17" s="261"/>
      <c r="G17" s="261"/>
      <c r="H17" s="261"/>
      <c r="I17" s="261"/>
      <c r="J17" s="261"/>
      <c r="K17" s="261"/>
      <c r="L17" s="261"/>
      <c r="M17" s="261"/>
      <c r="N17" s="261"/>
      <c r="O17" s="261"/>
    </row>
    <row r="18" spans="2:46" ht="16.95" customHeight="1" x14ac:dyDescent="0.25">
      <c r="Q18" s="268" t="s">
        <v>42</v>
      </c>
      <c r="R18" s="268"/>
      <c r="S18" s="268"/>
      <c r="T18" s="268"/>
      <c r="U18" s="259" t="s">
        <v>43</v>
      </c>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row>
    <row r="19" spans="2:46" ht="16.95" customHeight="1" x14ac:dyDescent="0.25">
      <c r="B19" s="252" t="s">
        <v>44</v>
      </c>
      <c r="C19" s="252"/>
      <c r="D19" s="252"/>
      <c r="E19" s="252"/>
      <c r="F19" s="252"/>
      <c r="G19" s="252"/>
      <c r="H19" s="252"/>
      <c r="I19" s="252"/>
      <c r="J19" s="252"/>
      <c r="K19" s="252"/>
      <c r="L19" s="252"/>
      <c r="M19" s="252"/>
      <c r="N19" s="252"/>
      <c r="O19" s="252"/>
      <c r="Q19" s="268"/>
      <c r="R19" s="268"/>
      <c r="S19" s="268"/>
      <c r="T19" s="268"/>
      <c r="U19" s="259"/>
      <c r="V19" s="259"/>
      <c r="W19" s="259"/>
      <c r="X19" s="259"/>
      <c r="Y19" s="259"/>
      <c r="Z19" s="259"/>
      <c r="AA19" s="259"/>
      <c r="AB19" s="259"/>
      <c r="AC19" s="259"/>
      <c r="AD19" s="259"/>
      <c r="AE19" s="259"/>
      <c r="AF19" s="259"/>
      <c r="AG19" s="259"/>
      <c r="AH19" s="259"/>
      <c r="AI19" s="259"/>
      <c r="AJ19" s="259"/>
      <c r="AK19" s="259"/>
      <c r="AL19" s="259"/>
      <c r="AM19" s="259"/>
      <c r="AN19" s="259"/>
      <c r="AO19" s="259"/>
      <c r="AP19" s="259"/>
      <c r="AQ19" s="259"/>
      <c r="AR19" s="259"/>
      <c r="AS19" s="259"/>
      <c r="AT19" s="259"/>
    </row>
    <row r="20" spans="2:46" ht="16.95" customHeight="1" x14ac:dyDescent="0.25">
      <c r="B20" s="256" t="s">
        <v>45</v>
      </c>
      <c r="C20" s="256"/>
      <c r="D20" s="256"/>
      <c r="E20" s="256"/>
      <c r="F20" s="256"/>
      <c r="G20" s="256"/>
      <c r="H20" s="256"/>
      <c r="I20" s="256"/>
      <c r="J20" s="256"/>
      <c r="K20" s="256"/>
      <c r="L20" s="256"/>
      <c r="M20" s="256"/>
      <c r="N20" s="256"/>
      <c r="O20" s="256"/>
      <c r="Q20" s="268"/>
      <c r="R20" s="268"/>
      <c r="S20" s="268"/>
      <c r="T20" s="268"/>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row>
    <row r="21" spans="2:46" ht="16.95" customHeight="1" x14ac:dyDescent="0.25">
      <c r="B21" s="261"/>
      <c r="C21" s="261"/>
      <c r="D21" s="261"/>
      <c r="E21" s="261"/>
      <c r="F21" s="261"/>
      <c r="G21" s="261"/>
      <c r="H21" s="261"/>
      <c r="I21" s="261"/>
      <c r="J21" s="261"/>
      <c r="K21" s="261"/>
      <c r="L21" s="261"/>
      <c r="M21" s="261"/>
      <c r="N21" s="261"/>
      <c r="O21" s="261"/>
      <c r="Q21" s="268"/>
      <c r="R21" s="268"/>
      <c r="S21" s="268"/>
      <c r="T21" s="268"/>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259"/>
    </row>
    <row r="22" spans="2:46" ht="16.95" customHeight="1" x14ac:dyDescent="0.25">
      <c r="B22" s="256"/>
      <c r="C22" s="256"/>
      <c r="D22" s="256"/>
      <c r="E22" s="256"/>
      <c r="F22" s="256"/>
      <c r="G22" s="256"/>
      <c r="H22" s="256"/>
      <c r="I22" s="256"/>
      <c r="J22" s="256"/>
      <c r="K22" s="256"/>
      <c r="L22" s="256"/>
      <c r="M22" s="256"/>
      <c r="N22" s="256"/>
      <c r="O22" s="256"/>
      <c r="Q22" s="268"/>
      <c r="R22" s="268"/>
      <c r="S22" s="268"/>
      <c r="T22" s="268"/>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row>
    <row r="23" spans="2:46" ht="16.95" customHeight="1" x14ac:dyDescent="0.25">
      <c r="B23" s="261"/>
      <c r="C23" s="261"/>
      <c r="D23" s="261"/>
      <c r="E23" s="261"/>
      <c r="F23" s="261"/>
      <c r="G23" s="261"/>
      <c r="H23" s="261"/>
      <c r="I23" s="261"/>
      <c r="J23" s="261"/>
      <c r="K23" s="261"/>
      <c r="L23" s="261"/>
      <c r="M23" s="261"/>
      <c r="N23" s="261"/>
      <c r="O23" s="261"/>
      <c r="Q23" s="268"/>
      <c r="R23" s="268"/>
      <c r="S23" s="268"/>
      <c r="T23" s="268"/>
      <c r="U23" s="259"/>
      <c r="V23" s="259"/>
      <c r="W23" s="259"/>
      <c r="X23" s="259"/>
      <c r="Y23" s="259"/>
      <c r="Z23" s="259"/>
      <c r="AA23" s="259"/>
      <c r="AB23" s="259"/>
      <c r="AC23" s="259"/>
      <c r="AD23" s="259"/>
      <c r="AE23" s="259"/>
      <c r="AF23" s="259"/>
      <c r="AG23" s="259"/>
      <c r="AH23" s="259"/>
      <c r="AI23" s="259"/>
      <c r="AJ23" s="259"/>
      <c r="AK23" s="259"/>
      <c r="AL23" s="259"/>
      <c r="AM23" s="259"/>
      <c r="AN23" s="259"/>
      <c r="AO23" s="259"/>
      <c r="AP23" s="259"/>
      <c r="AQ23" s="259"/>
      <c r="AR23" s="259"/>
      <c r="AS23" s="259"/>
      <c r="AT23" s="259"/>
    </row>
    <row r="24" spans="2:46" ht="16.95" customHeight="1" x14ac:dyDescent="0.25">
      <c r="Q24" s="268"/>
      <c r="R24" s="268"/>
      <c r="S24" s="268"/>
      <c r="T24" s="268"/>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row>
    <row r="25" spans="2:46" ht="16.95" customHeight="1" x14ac:dyDescent="0.25">
      <c r="B25" s="257" t="s">
        <v>46</v>
      </c>
      <c r="C25" s="257"/>
      <c r="D25" s="257"/>
      <c r="E25" s="257"/>
      <c r="F25" s="257"/>
      <c r="G25" s="257"/>
      <c r="H25" s="257"/>
      <c r="I25" s="257"/>
      <c r="J25" s="257"/>
      <c r="K25" s="257"/>
      <c r="L25" s="257"/>
      <c r="M25" s="257"/>
      <c r="N25" s="257"/>
      <c r="O25" s="257"/>
      <c r="Q25" s="268"/>
      <c r="R25" s="268"/>
      <c r="S25" s="268"/>
      <c r="T25" s="268"/>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row>
    <row r="26" spans="2:46" ht="16.95" customHeight="1" x14ac:dyDescent="0.25">
      <c r="B26" s="256"/>
      <c r="C26" s="269"/>
      <c r="D26" s="269"/>
      <c r="E26" s="269"/>
      <c r="F26" s="269"/>
      <c r="G26" s="269"/>
      <c r="H26" s="269"/>
      <c r="I26" s="269"/>
      <c r="J26" s="269"/>
      <c r="K26" s="269"/>
      <c r="L26" s="269"/>
      <c r="M26" s="269"/>
      <c r="N26" s="269"/>
      <c r="O26" s="269"/>
      <c r="Q26" s="268"/>
      <c r="R26" s="268"/>
      <c r="S26" s="268"/>
      <c r="T26" s="268"/>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row>
    <row r="27" spans="2:46" ht="16.95" customHeight="1" x14ac:dyDescent="0.25">
      <c r="B27" s="269"/>
      <c r="C27" s="269"/>
      <c r="D27" s="269"/>
      <c r="E27" s="269"/>
      <c r="F27" s="269"/>
      <c r="G27" s="269"/>
      <c r="H27" s="269"/>
      <c r="I27" s="269"/>
      <c r="J27" s="269"/>
      <c r="K27" s="269"/>
      <c r="L27" s="269"/>
      <c r="M27" s="269"/>
      <c r="N27" s="269"/>
      <c r="O27" s="269"/>
      <c r="Q27" s="268"/>
      <c r="R27" s="268"/>
      <c r="S27" s="268"/>
      <c r="T27" s="268"/>
      <c r="U27" s="259"/>
      <c r="V27" s="259"/>
      <c r="W27" s="259"/>
      <c r="X27" s="259"/>
      <c r="Y27" s="259"/>
      <c r="Z27" s="259"/>
      <c r="AA27" s="259"/>
      <c r="AB27" s="259"/>
      <c r="AC27" s="259"/>
      <c r="AD27" s="259"/>
      <c r="AE27" s="259"/>
      <c r="AF27" s="259"/>
      <c r="AG27" s="259"/>
      <c r="AH27" s="259"/>
      <c r="AI27" s="259"/>
      <c r="AJ27" s="259"/>
      <c r="AK27" s="259"/>
      <c r="AL27" s="259"/>
      <c r="AM27" s="259"/>
      <c r="AN27" s="259"/>
      <c r="AO27" s="259"/>
      <c r="AP27" s="259"/>
      <c r="AQ27" s="259"/>
      <c r="AR27" s="259"/>
      <c r="AS27" s="259"/>
      <c r="AT27" s="259"/>
    </row>
    <row r="28" spans="2:46" ht="16.95" customHeight="1" x14ac:dyDescent="0.25">
      <c r="B28" s="269"/>
      <c r="C28" s="269"/>
      <c r="D28" s="269"/>
      <c r="E28" s="269"/>
      <c r="F28" s="269"/>
      <c r="G28" s="269"/>
      <c r="H28" s="269"/>
      <c r="I28" s="269"/>
      <c r="J28" s="269"/>
      <c r="K28" s="269"/>
      <c r="L28" s="269"/>
      <c r="M28" s="269"/>
      <c r="N28" s="269"/>
      <c r="O28" s="269"/>
      <c r="Q28" s="268"/>
      <c r="R28" s="268"/>
      <c r="S28" s="268"/>
      <c r="T28" s="268"/>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row>
    <row r="29" spans="2:46" ht="16.95" customHeight="1" x14ac:dyDescent="0.25">
      <c r="B29" s="269"/>
      <c r="C29" s="269"/>
      <c r="D29" s="269"/>
      <c r="E29" s="269"/>
      <c r="F29" s="269"/>
      <c r="G29" s="269"/>
      <c r="H29" s="269"/>
      <c r="I29" s="269"/>
      <c r="J29" s="269"/>
      <c r="K29" s="269"/>
      <c r="L29" s="269"/>
      <c r="M29" s="269"/>
      <c r="N29" s="269"/>
      <c r="O29" s="269"/>
      <c r="Q29" s="268"/>
      <c r="R29" s="268"/>
      <c r="S29" s="268"/>
      <c r="T29" s="268"/>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row>
    <row r="30" spans="2:46" ht="16.95" customHeight="1" x14ac:dyDescent="0.25">
      <c r="B30" s="269"/>
      <c r="C30" s="269"/>
      <c r="D30" s="269"/>
      <c r="E30" s="269"/>
      <c r="F30" s="269"/>
      <c r="G30" s="269"/>
      <c r="H30" s="269"/>
      <c r="I30" s="269"/>
      <c r="J30" s="269"/>
      <c r="K30" s="269"/>
      <c r="L30" s="269"/>
      <c r="M30" s="269"/>
      <c r="N30" s="269"/>
      <c r="O30" s="269"/>
      <c r="Q30" s="268"/>
      <c r="R30" s="268"/>
      <c r="S30" s="268"/>
      <c r="T30" s="268"/>
      <c r="U30" s="259"/>
      <c r="V30" s="259"/>
      <c r="W30" s="259"/>
      <c r="X30" s="259"/>
      <c r="Y30" s="259"/>
      <c r="Z30" s="259"/>
      <c r="AA30" s="259"/>
      <c r="AB30" s="259"/>
      <c r="AC30" s="259"/>
      <c r="AD30" s="259"/>
      <c r="AE30" s="259"/>
      <c r="AF30" s="259"/>
      <c r="AG30" s="259"/>
      <c r="AH30" s="259"/>
      <c r="AI30" s="259"/>
      <c r="AJ30" s="259"/>
      <c r="AK30" s="259"/>
      <c r="AL30" s="259"/>
      <c r="AM30" s="259"/>
      <c r="AN30" s="259"/>
      <c r="AO30" s="259"/>
      <c r="AP30" s="259"/>
      <c r="AQ30" s="259"/>
      <c r="AR30" s="259"/>
      <c r="AS30" s="259"/>
      <c r="AT30" s="259"/>
    </row>
    <row r="31" spans="2:46" ht="16.95" customHeight="1" x14ac:dyDescent="0.25">
      <c r="B31" s="269"/>
      <c r="C31" s="269"/>
      <c r="D31" s="269"/>
      <c r="E31" s="269"/>
      <c r="F31" s="269"/>
      <c r="G31" s="269"/>
      <c r="H31" s="269"/>
      <c r="I31" s="269"/>
      <c r="J31" s="269"/>
      <c r="K31" s="269"/>
      <c r="L31" s="269"/>
      <c r="M31" s="269"/>
      <c r="N31" s="269"/>
      <c r="O31" s="269"/>
      <c r="Q31" s="268"/>
      <c r="R31" s="268"/>
      <c r="S31" s="268"/>
      <c r="T31" s="268"/>
      <c r="U31" s="259"/>
      <c r="V31" s="259"/>
      <c r="W31" s="259"/>
      <c r="X31" s="259"/>
      <c r="Y31" s="259"/>
      <c r="Z31" s="259"/>
      <c r="AA31" s="259"/>
      <c r="AB31" s="259"/>
      <c r="AC31" s="259"/>
      <c r="AD31" s="259"/>
      <c r="AE31" s="259"/>
      <c r="AF31" s="259"/>
      <c r="AG31" s="259"/>
      <c r="AH31" s="259"/>
      <c r="AI31" s="259"/>
      <c r="AJ31" s="259"/>
      <c r="AK31" s="259"/>
      <c r="AL31" s="259"/>
      <c r="AM31" s="259"/>
      <c r="AN31" s="259"/>
      <c r="AO31" s="259"/>
      <c r="AP31" s="259"/>
      <c r="AQ31" s="259"/>
      <c r="AR31" s="259"/>
      <c r="AS31" s="259"/>
      <c r="AT31" s="259"/>
    </row>
    <row r="32" spans="2:46" ht="16.95" customHeight="1" x14ac:dyDescent="0.25">
      <c r="B32" s="269"/>
      <c r="C32" s="269"/>
      <c r="D32" s="269"/>
      <c r="E32" s="269"/>
      <c r="F32" s="269"/>
      <c r="G32" s="269"/>
      <c r="H32" s="269"/>
      <c r="I32" s="269"/>
      <c r="J32" s="269"/>
      <c r="K32" s="269"/>
      <c r="L32" s="269"/>
      <c r="M32" s="269"/>
      <c r="N32" s="269"/>
      <c r="O32" s="269"/>
      <c r="Q32" s="268"/>
      <c r="R32" s="268"/>
      <c r="S32" s="268"/>
      <c r="T32" s="268"/>
      <c r="U32" s="259"/>
      <c r="V32" s="259"/>
      <c r="W32" s="259"/>
      <c r="X32" s="259"/>
      <c r="Y32" s="259"/>
      <c r="Z32" s="259"/>
      <c r="AA32" s="259"/>
      <c r="AB32" s="259"/>
      <c r="AC32" s="259"/>
      <c r="AD32" s="259"/>
      <c r="AE32" s="259"/>
      <c r="AF32" s="259"/>
      <c r="AG32" s="259"/>
      <c r="AH32" s="259"/>
      <c r="AI32" s="259"/>
      <c r="AJ32" s="259"/>
      <c r="AK32" s="259"/>
      <c r="AL32" s="259"/>
      <c r="AM32" s="259"/>
      <c r="AN32" s="259"/>
      <c r="AO32" s="259"/>
      <c r="AP32" s="259"/>
      <c r="AQ32" s="259"/>
      <c r="AR32" s="259"/>
      <c r="AS32" s="259"/>
      <c r="AT32" s="259"/>
    </row>
    <row r="33" spans="2:46" ht="16.95" customHeight="1" x14ac:dyDescent="0.25">
      <c r="B33" s="269"/>
      <c r="C33" s="269"/>
      <c r="D33" s="269"/>
      <c r="E33" s="269"/>
      <c r="F33" s="269"/>
      <c r="G33" s="269"/>
      <c r="H33" s="269"/>
      <c r="I33" s="269"/>
      <c r="J33" s="269"/>
      <c r="K33" s="269"/>
      <c r="L33" s="269"/>
      <c r="M33" s="269"/>
      <c r="N33" s="269"/>
      <c r="O33" s="269"/>
      <c r="Q33" s="268"/>
      <c r="R33" s="268"/>
      <c r="S33" s="268"/>
      <c r="T33" s="268"/>
      <c r="U33" s="259"/>
      <c r="V33" s="259"/>
      <c r="W33" s="259"/>
      <c r="X33" s="259"/>
      <c r="Y33" s="259"/>
      <c r="Z33" s="259"/>
      <c r="AA33" s="259"/>
      <c r="AB33" s="259"/>
      <c r="AC33" s="259"/>
      <c r="AD33" s="259"/>
      <c r="AE33" s="259"/>
      <c r="AF33" s="259"/>
      <c r="AG33" s="259"/>
      <c r="AH33" s="259"/>
      <c r="AI33" s="259"/>
      <c r="AJ33" s="259"/>
      <c r="AK33" s="259"/>
      <c r="AL33" s="259"/>
      <c r="AM33" s="259"/>
      <c r="AN33" s="259"/>
      <c r="AO33" s="259"/>
      <c r="AP33" s="259"/>
      <c r="AQ33" s="259"/>
      <c r="AR33" s="259"/>
      <c r="AS33" s="259"/>
      <c r="AT33" s="259"/>
    </row>
    <row r="34" spans="2:46" ht="16.95" customHeight="1" x14ac:dyDescent="0.25">
      <c r="B34" s="269"/>
      <c r="C34" s="269"/>
      <c r="D34" s="269"/>
      <c r="E34" s="269"/>
      <c r="F34" s="269"/>
      <c r="G34" s="269"/>
      <c r="H34" s="269"/>
      <c r="I34" s="269"/>
      <c r="J34" s="269"/>
      <c r="K34" s="269"/>
      <c r="L34" s="269"/>
      <c r="M34" s="269"/>
      <c r="N34" s="269"/>
      <c r="O34" s="269"/>
      <c r="Q34" s="268"/>
      <c r="R34" s="268"/>
      <c r="S34" s="268"/>
      <c r="T34" s="268"/>
      <c r="U34" s="259"/>
      <c r="V34" s="259"/>
      <c r="W34" s="259"/>
      <c r="X34" s="259"/>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row>
    <row r="35" spans="2:46" ht="16.95" customHeight="1" x14ac:dyDescent="0.25">
      <c r="B35" s="269"/>
      <c r="C35" s="269"/>
      <c r="D35" s="269"/>
      <c r="E35" s="269"/>
      <c r="F35" s="269"/>
      <c r="G35" s="269"/>
      <c r="H35" s="269"/>
      <c r="I35" s="269"/>
      <c r="J35" s="269"/>
      <c r="K35" s="269"/>
      <c r="L35" s="269"/>
      <c r="M35" s="269"/>
      <c r="N35" s="269"/>
      <c r="O35" s="269"/>
      <c r="Q35" s="268"/>
      <c r="R35" s="268"/>
      <c r="S35" s="268"/>
      <c r="T35" s="268"/>
      <c r="U35" s="259"/>
      <c r="V35" s="259"/>
      <c r="W35" s="259"/>
      <c r="X35" s="259"/>
      <c r="Y35" s="259"/>
      <c r="Z35" s="259"/>
      <c r="AA35" s="259"/>
      <c r="AB35" s="259"/>
      <c r="AC35" s="259"/>
      <c r="AD35" s="259"/>
      <c r="AE35" s="259"/>
      <c r="AF35" s="259"/>
      <c r="AG35" s="259"/>
      <c r="AH35" s="259"/>
      <c r="AI35" s="259"/>
      <c r="AJ35" s="259"/>
      <c r="AK35" s="259"/>
      <c r="AL35" s="259"/>
      <c r="AM35" s="259"/>
      <c r="AN35" s="259"/>
      <c r="AO35" s="259"/>
      <c r="AP35" s="259"/>
      <c r="AQ35" s="259"/>
      <c r="AR35" s="259"/>
      <c r="AS35" s="259"/>
      <c r="AT35" s="259"/>
    </row>
    <row r="36" spans="2:46" ht="16.95" customHeight="1" x14ac:dyDescent="0.25">
      <c r="B36" s="269"/>
      <c r="C36" s="269"/>
      <c r="D36" s="269"/>
      <c r="E36" s="269"/>
      <c r="F36" s="269"/>
      <c r="G36" s="269"/>
      <c r="H36" s="269"/>
      <c r="I36" s="269"/>
      <c r="J36" s="269"/>
      <c r="K36" s="269"/>
      <c r="L36" s="269"/>
      <c r="M36" s="269"/>
      <c r="N36" s="269"/>
      <c r="O36" s="269"/>
      <c r="Q36" s="268"/>
      <c r="R36" s="268"/>
      <c r="S36" s="268"/>
      <c r="T36" s="268"/>
      <c r="U36" s="259"/>
      <c r="V36" s="259"/>
      <c r="W36" s="259"/>
      <c r="X36" s="259"/>
      <c r="Y36" s="259"/>
      <c r="Z36" s="259"/>
      <c r="AA36" s="259"/>
      <c r="AB36" s="259"/>
      <c r="AC36" s="259"/>
      <c r="AD36" s="259"/>
      <c r="AE36" s="259"/>
      <c r="AF36" s="259"/>
      <c r="AG36" s="259"/>
      <c r="AH36" s="259"/>
      <c r="AI36" s="259"/>
      <c r="AJ36" s="259"/>
      <c r="AK36" s="259"/>
      <c r="AL36" s="259"/>
      <c r="AM36" s="259"/>
      <c r="AN36" s="259"/>
      <c r="AO36" s="259"/>
      <c r="AP36" s="259"/>
      <c r="AQ36" s="259"/>
      <c r="AR36" s="259"/>
      <c r="AS36" s="259"/>
      <c r="AT36" s="259"/>
    </row>
  </sheetData>
  <sheetProtection sheet="1" selectLockedCells="1"/>
  <mergeCells count="60">
    <mergeCell ref="B25:O25"/>
    <mergeCell ref="U9:AT10"/>
    <mergeCell ref="Q9:T10"/>
    <mergeCell ref="Q3:T4"/>
    <mergeCell ref="U18:AT36"/>
    <mergeCell ref="Q18:T36"/>
    <mergeCell ref="B26:O36"/>
    <mergeCell ref="U12:AT16"/>
    <mergeCell ref="Q12:T16"/>
    <mergeCell ref="B21:H21"/>
    <mergeCell ref="I21:O21"/>
    <mergeCell ref="B22:H22"/>
    <mergeCell ref="I22:O22"/>
    <mergeCell ref="B23:H23"/>
    <mergeCell ref="I23:O23"/>
    <mergeCell ref="B17:H17"/>
    <mergeCell ref="I17:O17"/>
    <mergeCell ref="B19:O19"/>
    <mergeCell ref="B20:H20"/>
    <mergeCell ref="I20:O20"/>
    <mergeCell ref="B14:H14"/>
    <mergeCell ref="I14:O14"/>
    <mergeCell ref="B15:H15"/>
    <mergeCell ref="I15:O15"/>
    <mergeCell ref="B16:H16"/>
    <mergeCell ref="I16:O16"/>
    <mergeCell ref="B11:D11"/>
    <mergeCell ref="E11:H11"/>
    <mergeCell ref="I11:K11"/>
    <mergeCell ref="L11:O11"/>
    <mergeCell ref="B13:O13"/>
    <mergeCell ref="B9:D9"/>
    <mergeCell ref="E9:H9"/>
    <mergeCell ref="I9:K9"/>
    <mergeCell ref="L9:O9"/>
    <mergeCell ref="B10:D10"/>
    <mergeCell ref="E10:H10"/>
    <mergeCell ref="I10:K10"/>
    <mergeCell ref="L10:O10"/>
    <mergeCell ref="Q7:T7"/>
    <mergeCell ref="U7:AT7"/>
    <mergeCell ref="B8:D8"/>
    <mergeCell ref="E8:H8"/>
    <mergeCell ref="I8:K8"/>
    <mergeCell ref="L8:O8"/>
    <mergeCell ref="B5:D5"/>
    <mergeCell ref="E5:O5"/>
    <mergeCell ref="Q5:T5"/>
    <mergeCell ref="U5:AT5"/>
    <mergeCell ref="B6:D6"/>
    <mergeCell ref="E6:O6"/>
    <mergeCell ref="Q6:T6"/>
    <mergeCell ref="U6:AT6"/>
    <mergeCell ref="A1:AU1"/>
    <mergeCell ref="B3:D3"/>
    <mergeCell ref="E3:O3"/>
    <mergeCell ref="U3:AT3"/>
    <mergeCell ref="B4:D4"/>
    <mergeCell ref="E4:O4"/>
    <mergeCell ref="U4:AT4"/>
  </mergeCells>
  <phoneticPr fontId="44" type="noConversion"/>
  <pageMargins left="0.75" right="0.75" top="1" bottom="1" header="0.51180555555555596" footer="0.51180555555555596"/>
  <drawing r:id="rId1"/>
  <legacyDrawing r:id="rId2"/>
  <extLst>
    <ext xmlns:x14="http://schemas.microsoft.com/office/spreadsheetml/2009/9/main" uri="{CCE6A557-97BC-4b89-ADB6-D9C93CAAB3DF}">
      <x14:dataValidations xmlns:xm="http://schemas.microsoft.com/office/excel/2006/main" count="6">
        <x14:dataValidation type="list" allowBlank="1" showInputMessage="1" xr:uid="{00000000-0002-0000-0000-000000000000}">
          <x14:formula1>
            <xm:f>#REF!</xm:f>
          </x14:formula1>
          <xm:sqref>E3:O3</xm:sqref>
        </x14:dataValidation>
        <x14:dataValidation type="list" allowBlank="1" showInputMessage="1" xr:uid="{00000000-0002-0000-0000-000001000000}">
          <x14:formula1>
            <xm:f>#REF!</xm:f>
          </x14:formula1>
          <xm:sqref>E4:O4</xm:sqref>
        </x14:dataValidation>
        <x14:dataValidation type="list" allowBlank="1" showInputMessage="1" xr:uid="{00000000-0002-0000-0000-000002000000}">
          <x14:formula1>
            <xm:f>背景数据!$C$3:$C$64</xm:f>
          </x14:formula1>
          <xm:sqref>E6:H6</xm:sqref>
        </x14:dataValidation>
        <x14:dataValidation type="list" allowBlank="1" showInputMessage="1" xr:uid="{00000000-0002-0000-0000-000003000000}">
          <x14:formula1>
            <xm:f>数据表!$AQ$101:$AQ$139</xm:f>
          </x14:formula1>
          <xm:sqref>B20:O23</xm:sqref>
        </x14:dataValidation>
        <x14:dataValidation type="list" allowBlank="1" showInputMessage="1" xr:uid="{00000000-0002-0000-0000-000004000000}">
          <x14:formula1>
            <xm:f>数据表!$AW$2:$AW$31</xm:f>
          </x14:formula1>
          <xm:sqref>B14:O17</xm:sqref>
        </x14:dataValidation>
        <x14:dataValidation type="list" allowBlank="1" showInputMessage="1" xr:uid="{00000000-0002-0000-0000-000005000000}">
          <x14:formula1>
            <xm:f>背景数据!I2</xm:f>
          </x14:formula1>
          <xm:sqref>U12:AT16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W363"/>
  <sheetViews>
    <sheetView topLeftCell="H4" zoomScale="70" zoomScaleNormal="70" workbookViewId="0">
      <selection activeCell="X40" sqref="X40"/>
    </sheetView>
  </sheetViews>
  <sheetFormatPr defaultColWidth="9" defaultRowHeight="16.5" customHeight="1" x14ac:dyDescent="0.25"/>
  <cols>
    <col min="1" max="1" width="3.77734375" style="119" customWidth="1"/>
    <col min="2" max="2" width="9.77734375" style="119" customWidth="1"/>
    <col min="3" max="5" width="3.77734375" style="119" customWidth="1"/>
    <col min="6" max="6" width="9.77734375" style="119" customWidth="1"/>
    <col min="7" max="7" width="4.77734375" style="119" customWidth="1"/>
    <col min="8" max="8" width="9" style="119"/>
    <col min="9" max="10" width="3.77734375" style="119" customWidth="1"/>
    <col min="11" max="11" width="9" style="119" customWidth="1"/>
    <col min="12" max="12" width="9" style="217"/>
    <col min="13" max="32" width="5.33203125" style="217" customWidth="1"/>
    <col min="33" max="38" width="9" style="119"/>
    <col min="39" max="39" width="9" style="119" customWidth="1"/>
    <col min="40" max="16384" width="9" style="119"/>
  </cols>
  <sheetData>
    <row r="1" spans="1:49" ht="16.5" customHeight="1" x14ac:dyDescent="0.25">
      <c r="A1" s="120"/>
      <c r="B1" s="120" t="s">
        <v>144</v>
      </c>
      <c r="C1" s="120" t="s">
        <v>145</v>
      </c>
      <c r="D1" s="120" t="s">
        <v>146</v>
      </c>
      <c r="E1" s="273" t="s">
        <v>147</v>
      </c>
      <c r="F1" s="273"/>
      <c r="G1" s="273"/>
      <c r="H1" s="120"/>
      <c r="I1" s="120" t="s">
        <v>148</v>
      </c>
      <c r="J1" s="120" t="s">
        <v>149</v>
      </c>
      <c r="K1" s="120"/>
      <c r="L1" s="218"/>
      <c r="M1" s="219">
        <v>1</v>
      </c>
      <c r="N1" s="219">
        <v>2</v>
      </c>
      <c r="O1" s="219">
        <v>3</v>
      </c>
      <c r="P1" s="219">
        <v>4</v>
      </c>
      <c r="Q1" s="219">
        <v>5</v>
      </c>
      <c r="R1" s="219">
        <v>6</v>
      </c>
      <c r="S1" s="219">
        <v>7</v>
      </c>
      <c r="T1" s="219">
        <v>8</v>
      </c>
      <c r="U1" s="219">
        <v>9</v>
      </c>
      <c r="V1" s="219">
        <v>10</v>
      </c>
      <c r="W1" s="219">
        <v>11</v>
      </c>
      <c r="X1" s="219">
        <v>12</v>
      </c>
      <c r="Y1" s="219">
        <v>13</v>
      </c>
      <c r="Z1" s="219">
        <v>14</v>
      </c>
      <c r="AA1" s="219">
        <v>15</v>
      </c>
      <c r="AB1" s="219">
        <v>16</v>
      </c>
      <c r="AC1" s="219">
        <v>17</v>
      </c>
      <c r="AD1" s="219">
        <v>18</v>
      </c>
      <c r="AE1" s="219">
        <v>19</v>
      </c>
      <c r="AF1" s="219">
        <v>20</v>
      </c>
      <c r="AI1" s="120"/>
      <c r="AK1" s="122" t="s">
        <v>150</v>
      </c>
      <c r="AL1" s="122">
        <v>0</v>
      </c>
      <c r="AO1" s="119" t="s">
        <v>151</v>
      </c>
      <c r="AP1" s="119" t="s">
        <v>152</v>
      </c>
      <c r="AQ1" s="220" t="s">
        <v>153</v>
      </c>
      <c r="AR1" s="221" t="s">
        <v>154</v>
      </c>
      <c r="AS1" s="220" t="s">
        <v>155</v>
      </c>
      <c r="AT1" s="220">
        <v>2</v>
      </c>
      <c r="AU1" s="119" t="s">
        <v>156</v>
      </c>
      <c r="AW1" s="222" t="s">
        <v>37</v>
      </c>
    </row>
    <row r="2" spans="1:49" ht="16.5" customHeight="1" x14ac:dyDescent="0.25">
      <c r="A2" s="120">
        <v>1</v>
      </c>
      <c r="B2" s="120" t="e">
        <f>IF(#REF!="","",#REF!)</f>
        <v>#REF!</v>
      </c>
      <c r="C2" s="120" t="str">
        <f>IFERROR(VLOOKUP(B2,#REF!,5,FALSE),"")</f>
        <v/>
      </c>
      <c r="D2" s="223" t="str">
        <f>IFERROR(VLOOKUP(B2,#REF!,4,FALSE),"")</f>
        <v/>
      </c>
      <c r="E2" s="120">
        <v>1</v>
      </c>
      <c r="F2" s="224" t="e">
        <f t="shared" ref="F2:F51" si="0">B2</f>
        <v>#REF!</v>
      </c>
      <c r="G2" s="225"/>
      <c r="H2" s="226" t="e">
        <f>IF(#REF!&lt;&gt;"",#REF!,"")</f>
        <v>#REF!</v>
      </c>
      <c r="I2" s="120" t="e">
        <f>IF(VLOOKUP(H2,#REF!,4,0)="√",1,0)</f>
        <v>#REF!</v>
      </c>
      <c r="J2" s="120" t="e">
        <f>IF(VLOOKUP(H2,#REF!,5,0)="√",1,0)</f>
        <v>#REF!</v>
      </c>
      <c r="K2" s="120"/>
      <c r="L2" s="227" t="s">
        <v>157</v>
      </c>
      <c r="M2" s="228">
        <v>4</v>
      </c>
      <c r="N2" s="228">
        <v>5</v>
      </c>
      <c r="O2" s="228">
        <v>6</v>
      </c>
      <c r="P2" s="228">
        <v>7</v>
      </c>
      <c r="Q2" s="228">
        <v>8</v>
      </c>
      <c r="R2" s="228">
        <v>9</v>
      </c>
      <c r="S2" s="228">
        <v>10</v>
      </c>
      <c r="T2" s="228">
        <v>11</v>
      </c>
      <c r="U2" s="228">
        <v>12</v>
      </c>
      <c r="V2" s="228">
        <v>14</v>
      </c>
      <c r="W2" s="228">
        <v>15</v>
      </c>
      <c r="X2" s="228">
        <v>15</v>
      </c>
      <c r="Y2" s="228">
        <v>16</v>
      </c>
      <c r="Z2" s="228">
        <v>18</v>
      </c>
      <c r="AA2" s="228">
        <v>19</v>
      </c>
      <c r="AB2" s="228">
        <v>19</v>
      </c>
      <c r="AC2" s="228">
        <v>20</v>
      </c>
      <c r="AD2" s="228">
        <v>22</v>
      </c>
      <c r="AE2" s="228">
        <v>22</v>
      </c>
      <c r="AF2" s="228">
        <v>22</v>
      </c>
      <c r="AH2" s="120"/>
      <c r="AI2" s="120"/>
      <c r="AK2" s="122" t="s">
        <v>158</v>
      </c>
      <c r="AL2" s="122">
        <v>1</v>
      </c>
      <c r="AO2" s="119" t="e">
        <f>IF(ISBLANK(#REF!),,INDEX(AR1:AT149,MATCH(#REF!&amp;"*",AQ1:AQ149,0),1))</f>
        <v>#REF!</v>
      </c>
      <c r="AP2" s="131" t="e">
        <f>IF(ISBLANK(#REF!),,INDEX(AQ1:AT149,MATCH(#REF!&amp;"*",AQ1:AQ149,0),1))</f>
        <v>#REF!</v>
      </c>
      <c r="AQ2" s="220" t="s">
        <v>159</v>
      </c>
      <c r="AR2" s="221" t="s">
        <v>160</v>
      </c>
      <c r="AS2" s="220" t="s">
        <v>161</v>
      </c>
      <c r="AT2" s="220">
        <v>1</v>
      </c>
      <c r="AU2" s="119" t="e">
        <f>VLOOKUP(AP2,AQ1:AT147,4,0)</f>
        <v>#REF!</v>
      </c>
      <c r="AW2" s="229" t="s">
        <v>38</v>
      </c>
    </row>
    <row r="3" spans="1:49" ht="16.5" customHeight="1" x14ac:dyDescent="0.25">
      <c r="A3" s="120">
        <v>2</v>
      </c>
      <c r="B3" s="120" t="e">
        <f>IF(#REF!="","",#REF!)</f>
        <v>#REF!</v>
      </c>
      <c r="C3" s="120" t="str">
        <f>IFERROR(VLOOKUP(B3,#REF!,5,FALSE),"")</f>
        <v/>
      </c>
      <c r="D3" s="223" t="str">
        <f>IFERROR(VLOOKUP(B3,#REF!,4,FALSE),"")</f>
        <v/>
      </c>
      <c r="E3" s="120">
        <v>2</v>
      </c>
      <c r="F3" s="224" t="e">
        <f t="shared" si="0"/>
        <v>#REF!</v>
      </c>
      <c r="G3" s="225"/>
      <c r="H3" s="226" t="e">
        <f>IF(#REF!&lt;&gt;"",#REF!,"")</f>
        <v>#REF!</v>
      </c>
      <c r="I3" s="120" t="e">
        <f>IF(VLOOKUP(H3,#REF!,4,0)="√",1,0)</f>
        <v>#REF!</v>
      </c>
      <c r="J3" s="120" t="e">
        <f>IF(VLOOKUP(H3,#REF!,5,0)="√",1,0)</f>
        <v>#REF!</v>
      </c>
      <c r="K3" s="120"/>
      <c r="L3" s="227" t="s">
        <v>162</v>
      </c>
      <c r="M3" s="228" t="e">
        <f>职业!$AI$4+#REF!</f>
        <v>#REF!</v>
      </c>
      <c r="N3" s="228" t="e">
        <f>职业!$AI$4+#REF!</f>
        <v>#REF!</v>
      </c>
      <c r="O3" s="228" t="e">
        <f>职业!$AI$4+#REF!</f>
        <v>#REF!</v>
      </c>
      <c r="P3" s="228" t="e">
        <f>职业!$AI$4+#REF!</f>
        <v>#REF!</v>
      </c>
      <c r="Q3" s="228" t="e">
        <f>职业!$AI$4+#REF!</f>
        <v>#REF!</v>
      </c>
      <c r="R3" s="228" t="e">
        <f>职业!$AI$4+#REF!</f>
        <v>#REF!</v>
      </c>
      <c r="S3" s="228" t="e">
        <f>职业!$AI$4+#REF!</f>
        <v>#REF!</v>
      </c>
      <c r="T3" s="228" t="e">
        <f>职业!$AI$4+#REF!</f>
        <v>#REF!</v>
      </c>
      <c r="U3" s="228" t="e">
        <f>职业!$AI$4+#REF!</f>
        <v>#REF!</v>
      </c>
      <c r="V3" s="228" t="e">
        <f>职业!$AI$4+#REF!</f>
        <v>#REF!</v>
      </c>
      <c r="W3" s="228" t="e">
        <f>职业!$AI$4+#REF!</f>
        <v>#REF!</v>
      </c>
      <c r="X3" s="228" t="e">
        <f>职业!$AI$4+#REF!</f>
        <v>#REF!</v>
      </c>
      <c r="Y3" s="228" t="e">
        <f>职业!$AI$4+#REF!</f>
        <v>#REF!</v>
      </c>
      <c r="Z3" s="228" t="e">
        <f>职业!$AI$4+#REF!</f>
        <v>#REF!</v>
      </c>
      <c r="AA3" s="228" t="e">
        <f>职业!$AI$4+#REF!</f>
        <v>#REF!</v>
      </c>
      <c r="AB3" s="228" t="e">
        <f>职业!$AI$4+#REF!</f>
        <v>#REF!</v>
      </c>
      <c r="AC3" s="228" t="e">
        <f>职业!$AI$4+#REF!</f>
        <v>#REF!</v>
      </c>
      <c r="AD3" s="228" t="e">
        <f>职业!$AI$4+#REF!</f>
        <v>#REF!</v>
      </c>
      <c r="AE3" s="228" t="e">
        <f>职业!$AI$4+#REF!</f>
        <v>#REF!</v>
      </c>
      <c r="AF3" s="228" t="e">
        <f>职业!$AI$4+#REF!</f>
        <v>#REF!</v>
      </c>
      <c r="AH3" s="120"/>
      <c r="AI3" s="120"/>
      <c r="AK3" s="122" t="s">
        <v>163</v>
      </c>
      <c r="AL3" s="122">
        <v>2</v>
      </c>
      <c r="AO3" s="119" t="e">
        <f>IF(ISBLANK(#REF!),,INDEX(AR1:AT149,MATCH(#REF!&amp;"*",AQ1:AQ149,0),1))</f>
        <v>#REF!</v>
      </c>
      <c r="AP3" s="131" t="e">
        <f>IF(ISBLANK(#REF!),,INDEX(AQ1:AT149,MATCH(#REF!&amp;"*",AQ1:AQ149,0),1))</f>
        <v>#REF!</v>
      </c>
      <c r="AQ3" s="220" t="s">
        <v>164</v>
      </c>
      <c r="AR3" s="221" t="s">
        <v>165</v>
      </c>
      <c r="AS3" s="220" t="s">
        <v>166</v>
      </c>
      <c r="AT3" s="220">
        <v>1</v>
      </c>
      <c r="AU3" s="119" t="e">
        <f>VLOOKUP(AP3,AQ1:AT147,4,0)</f>
        <v>#REF!</v>
      </c>
      <c r="AW3" s="229" t="s">
        <v>167</v>
      </c>
    </row>
    <row r="4" spans="1:49" ht="16.5" customHeight="1" x14ac:dyDescent="0.25">
      <c r="A4" s="120">
        <v>3</v>
      </c>
      <c r="B4" s="120" t="e">
        <f>IF(#REF!="","",#REF!)</f>
        <v>#REF!</v>
      </c>
      <c r="C4" s="120" t="str">
        <f>IFERROR(VLOOKUP(B4,#REF!,5,FALSE),"")</f>
        <v/>
      </c>
      <c r="D4" s="223" t="str">
        <f>IFERROR(VLOOKUP(B4,#REF!,4,FALSE),"")</f>
        <v/>
      </c>
      <c r="E4" s="120">
        <v>3</v>
      </c>
      <c r="F4" s="224" t="e">
        <f t="shared" si="0"/>
        <v>#REF!</v>
      </c>
      <c r="G4" s="225"/>
      <c r="H4" s="226" t="e">
        <f>IF(#REF!&lt;&gt;"",#REF!,"")</f>
        <v>#REF!</v>
      </c>
      <c r="I4" s="120" t="e">
        <f>IF(VLOOKUP(H4,#REF!,4,0)="√",1,0)</f>
        <v>#REF!</v>
      </c>
      <c r="J4" s="120" t="e">
        <f>IF(VLOOKUP(H4,#REF!,5,0)="√",1,0)</f>
        <v>#REF!</v>
      </c>
      <c r="K4" s="120"/>
      <c r="L4" s="227" t="s">
        <v>168</v>
      </c>
      <c r="M4" s="228" t="e">
        <f>职业!$AI$5+#REF!</f>
        <v>#REF!</v>
      </c>
      <c r="N4" s="228" t="e">
        <f>职业!$AI$5+#REF!</f>
        <v>#REF!</v>
      </c>
      <c r="O4" s="228" t="e">
        <f>职业!$AI$5+#REF!</f>
        <v>#REF!</v>
      </c>
      <c r="P4" s="228" t="e">
        <f>职业!$AI$5+#REF!</f>
        <v>#REF!</v>
      </c>
      <c r="Q4" s="228" t="e">
        <f>职业!$AI$5+#REF!</f>
        <v>#REF!</v>
      </c>
      <c r="R4" s="228" t="e">
        <f>职业!$AI$5+#REF!</f>
        <v>#REF!</v>
      </c>
      <c r="S4" s="228" t="e">
        <f>职业!$AI$5+#REF!</f>
        <v>#REF!</v>
      </c>
      <c r="T4" s="228" t="e">
        <f>职业!$AI$5+#REF!</f>
        <v>#REF!</v>
      </c>
      <c r="U4" s="228" t="e">
        <f>职业!$AI$5+#REF!</f>
        <v>#REF!</v>
      </c>
      <c r="V4" s="228" t="e">
        <f>职业!$AI$5+#REF!</f>
        <v>#REF!</v>
      </c>
      <c r="W4" s="228" t="e">
        <f>职业!$AI$5+#REF!</f>
        <v>#REF!</v>
      </c>
      <c r="X4" s="228" t="e">
        <f>职业!$AI$5+#REF!</f>
        <v>#REF!</v>
      </c>
      <c r="Y4" s="228" t="e">
        <f>职业!$AI$5+#REF!</f>
        <v>#REF!</v>
      </c>
      <c r="Z4" s="228" t="e">
        <f>职业!$AI$5+#REF!</f>
        <v>#REF!</v>
      </c>
      <c r="AA4" s="228" t="e">
        <f>职业!$AI$5+#REF!</f>
        <v>#REF!</v>
      </c>
      <c r="AB4" s="228" t="e">
        <f>职业!$AI$5+#REF!</f>
        <v>#REF!</v>
      </c>
      <c r="AC4" s="228" t="e">
        <f>职业!$AI$5+#REF!</f>
        <v>#REF!</v>
      </c>
      <c r="AD4" s="228" t="e">
        <f>职业!$AI$5+#REF!</f>
        <v>#REF!</v>
      </c>
      <c r="AE4" s="228" t="e">
        <f>职业!$AI$5+#REF!</f>
        <v>#REF!</v>
      </c>
      <c r="AF4" s="228" t="e">
        <f>职业!$AI$5+#REF!</f>
        <v>#REF!</v>
      </c>
      <c r="AK4" s="122" t="s">
        <v>169</v>
      </c>
      <c r="AL4" s="122">
        <v>3</v>
      </c>
      <c r="AO4" s="119" t="e">
        <f>IF(ISBLANK(#REF!),,INDEX(AR1:AT149,MATCH(#REF!&amp;"*",AQ1:AQ149,0),1))</f>
        <v>#REF!</v>
      </c>
      <c r="AP4" s="131" t="e">
        <f>IF(ISBLANK(#REF!),,INDEX(AQ1:AT149,MATCH(#REF!&amp;"*",AQ1:AQ149,0),1))</f>
        <v>#REF!</v>
      </c>
      <c r="AQ4" s="220" t="s">
        <v>115</v>
      </c>
      <c r="AR4" s="221" t="s">
        <v>154</v>
      </c>
      <c r="AS4" s="220" t="s">
        <v>170</v>
      </c>
      <c r="AT4" s="220">
        <v>0.05</v>
      </c>
      <c r="AU4" s="119" t="e">
        <f>VLOOKUP(AP4,AQ1:AT147,4,0)</f>
        <v>#REF!</v>
      </c>
      <c r="AW4" s="229" t="s">
        <v>39</v>
      </c>
    </row>
    <row r="5" spans="1:49" ht="16.5" customHeight="1" x14ac:dyDescent="0.25">
      <c r="A5" s="120">
        <v>4</v>
      </c>
      <c r="B5" s="120" t="e">
        <f>IF(#REF!="","",#REF!)</f>
        <v>#REF!</v>
      </c>
      <c r="C5" s="120" t="str">
        <f>IFERROR(VLOOKUP(B5,#REF!,5,FALSE),"")</f>
        <v/>
      </c>
      <c r="D5" s="223" t="str">
        <f>IFERROR(VLOOKUP(B5,#REF!,4,FALSE),"")</f>
        <v/>
      </c>
      <c r="E5" s="120">
        <v>4</v>
      </c>
      <c r="F5" s="224" t="e">
        <f t="shared" si="0"/>
        <v>#REF!</v>
      </c>
      <c r="G5" s="225"/>
      <c r="H5" s="226" t="e">
        <f>IF(#REF!&lt;&gt;"",#REF!,"")</f>
        <v>#REF!</v>
      </c>
      <c r="I5" s="120" t="e">
        <f>IF(VLOOKUP(H5,#REF!,4,0)="√",1,0)</f>
        <v>#REF!</v>
      </c>
      <c r="J5" s="120" t="e">
        <f>IF(VLOOKUP(H5,#REF!,5,0)="√",1,0)</f>
        <v>#REF!</v>
      </c>
      <c r="K5" s="120"/>
      <c r="L5" s="227" t="s">
        <v>171</v>
      </c>
      <c r="M5" s="228" t="e">
        <f>ROUNDDOWN(职业!$AI$8/2,0)+#REF!</f>
        <v>#REF!</v>
      </c>
      <c r="N5" s="228" t="e">
        <f>ROUNDDOWN(职业!$AI$8/2,0)+#REF!</f>
        <v>#REF!</v>
      </c>
      <c r="O5" s="228" t="e">
        <f>ROUNDDOWN(职业!$AI$8/2,0)+#REF!</f>
        <v>#REF!</v>
      </c>
      <c r="P5" s="228" t="e">
        <f>ROUNDDOWN(职业!$AI$8/2,0)+#REF!</f>
        <v>#REF!</v>
      </c>
      <c r="Q5" s="228" t="e">
        <f>ROUNDDOWN(职业!$AI$8/2,0)+#REF!</f>
        <v>#REF!</v>
      </c>
      <c r="R5" s="228" t="e">
        <f>ROUNDDOWN(职业!$AI$8/2,0)+#REF!</f>
        <v>#REF!</v>
      </c>
      <c r="S5" s="228" t="e">
        <f>ROUNDDOWN(职业!$AI$8/2,0)+#REF!</f>
        <v>#REF!</v>
      </c>
      <c r="T5" s="228" t="e">
        <f>ROUNDDOWN(职业!$AI$8/2,0)+#REF!</f>
        <v>#REF!</v>
      </c>
      <c r="U5" s="228" t="e">
        <f>ROUNDDOWN(职业!$AI$8/2,0)+#REF!</f>
        <v>#REF!</v>
      </c>
      <c r="V5" s="228" t="e">
        <f>ROUNDDOWN(职业!$AI$8/2,0)+#REF!</f>
        <v>#REF!</v>
      </c>
      <c r="W5" s="228" t="e">
        <f>ROUNDDOWN(职业!$AI$8/2,0)+#REF!</f>
        <v>#REF!</v>
      </c>
      <c r="X5" s="228" t="e">
        <f>ROUNDDOWN(职业!$AI$8/2,0)+#REF!</f>
        <v>#REF!</v>
      </c>
      <c r="Y5" s="228" t="e">
        <f>ROUNDDOWN(职业!$AI$8/2,0)+#REF!</f>
        <v>#REF!</v>
      </c>
      <c r="Z5" s="228" t="e">
        <f>ROUNDDOWN(职业!$AI$8/2,0)+#REF!</f>
        <v>#REF!</v>
      </c>
      <c r="AA5" s="228" t="e">
        <f>ROUNDDOWN(职业!$AI$8/2,0)+#REF!</f>
        <v>#REF!</v>
      </c>
      <c r="AB5" s="228" t="e">
        <f>ROUNDDOWN(职业!$AI$8/2,0)+#REF!</f>
        <v>#REF!</v>
      </c>
      <c r="AC5" s="228" t="e">
        <f>ROUNDDOWN(职业!$AI$8/2,0)+#REF!</f>
        <v>#REF!</v>
      </c>
      <c r="AD5" s="228" t="e">
        <f>ROUNDDOWN(职业!$AI$8/2,0)+#REF!</f>
        <v>#REF!</v>
      </c>
      <c r="AE5" s="228" t="e">
        <f>ROUNDDOWN(职业!$AI$8/2,0)+#REF!</f>
        <v>#REF!</v>
      </c>
      <c r="AF5" s="228" t="e">
        <f>ROUNDDOWN(职业!$AI$8/2,0)+#REF!</f>
        <v>#REF!</v>
      </c>
      <c r="AI5" s="131" t="s">
        <v>172</v>
      </c>
      <c r="AK5" s="122" t="s">
        <v>173</v>
      </c>
      <c r="AL5" s="122">
        <v>4</v>
      </c>
      <c r="AO5" s="119" t="e">
        <f>IF(ISBLANK(#REF!),,INDEX(AR1:AT149,MATCH(#REF!&amp;"*",AQ1:AQ149,0),1))</f>
        <v>#REF!</v>
      </c>
      <c r="AP5" s="131" t="e">
        <f>IF(ISBLANK(#REF!),,INDEX(AQ1:AT149,MATCH(#REF!&amp;"*",AQ1:AQ149,0),1))</f>
        <v>#REF!</v>
      </c>
      <c r="AQ5" s="220" t="s">
        <v>174</v>
      </c>
      <c r="AR5" s="221" t="s">
        <v>154</v>
      </c>
      <c r="AS5" s="220" t="s">
        <v>170</v>
      </c>
      <c r="AT5" s="220">
        <v>0.02</v>
      </c>
      <c r="AU5" s="119" t="e">
        <f>VLOOKUP(AP5,AQ1:AT147,4,0)</f>
        <v>#REF!</v>
      </c>
      <c r="AW5" s="229" t="s">
        <v>175</v>
      </c>
    </row>
    <row r="6" spans="1:49" ht="16.5" customHeight="1" x14ac:dyDescent="0.25">
      <c r="A6" s="120">
        <v>5</v>
      </c>
      <c r="B6" s="120" t="e">
        <f>IF(#REF!="","",#REF!)</f>
        <v>#REF!</v>
      </c>
      <c r="C6" s="120" t="str">
        <f>IFERROR(VLOOKUP(B6,#REF!,5,FALSE),"")</f>
        <v/>
      </c>
      <c r="D6" s="223" t="str">
        <f>IFERROR(VLOOKUP(B6,#REF!,4,FALSE),"")</f>
        <v/>
      </c>
      <c r="E6" s="120">
        <v>5</v>
      </c>
      <c r="F6" s="224" t="e">
        <f t="shared" si="0"/>
        <v>#REF!</v>
      </c>
      <c r="G6" s="225"/>
      <c r="H6" s="226" t="e">
        <f>IF(#REF!&lt;&gt;"",#REF!,"")</f>
        <v>#REF!</v>
      </c>
      <c r="I6" s="120" t="e">
        <f>IF(VLOOKUP(H6,#REF!,4,0)="√",1,0)</f>
        <v>#REF!</v>
      </c>
      <c r="J6" s="120" t="e">
        <f>IF(VLOOKUP(H6,#REF!,5,0)="√",1,0)</f>
        <v>#REF!</v>
      </c>
      <c r="K6" s="120"/>
      <c r="L6" s="227" t="s">
        <v>176</v>
      </c>
      <c r="M6" s="228">
        <v>0</v>
      </c>
      <c r="N6" s="228">
        <v>2</v>
      </c>
      <c r="O6" s="228">
        <v>3</v>
      </c>
      <c r="P6" s="228">
        <v>3</v>
      </c>
      <c r="Q6" s="228">
        <v>4</v>
      </c>
      <c r="R6" s="228">
        <v>4</v>
      </c>
      <c r="S6" s="228">
        <v>5</v>
      </c>
      <c r="T6" s="228">
        <v>5</v>
      </c>
      <c r="U6" s="228">
        <v>6</v>
      </c>
      <c r="V6" s="228">
        <v>6</v>
      </c>
      <c r="W6" s="228">
        <v>7</v>
      </c>
      <c r="X6" s="228">
        <v>7</v>
      </c>
      <c r="Y6" s="228">
        <v>8</v>
      </c>
      <c r="Z6" s="228">
        <v>8</v>
      </c>
      <c r="AA6" s="228">
        <v>9</v>
      </c>
      <c r="AB6" s="228">
        <v>9</v>
      </c>
      <c r="AC6" s="228">
        <v>10</v>
      </c>
      <c r="AD6" s="228">
        <v>10</v>
      </c>
      <c r="AE6" s="228">
        <v>11</v>
      </c>
      <c r="AF6" s="228">
        <v>11</v>
      </c>
      <c r="AI6" s="131" t="s">
        <v>177</v>
      </c>
      <c r="AK6" s="122" t="s">
        <v>178</v>
      </c>
      <c r="AL6" s="122">
        <v>5</v>
      </c>
      <c r="AO6" s="119" t="e">
        <f>IF(ISBLANK(#REF!),,INDEX(AR1:AT149,MATCH(#REF!&amp;"*",AQ1:AQ149,0),1))</f>
        <v>#REF!</v>
      </c>
      <c r="AP6" s="131" t="e">
        <f>IF(ISBLANK(#REF!),,INDEX(AQ1:AT149,MATCH(#REF!&amp;"*",AQ1:AQ149,0),1))</f>
        <v>#REF!</v>
      </c>
      <c r="AQ6" s="220" t="s">
        <v>179</v>
      </c>
      <c r="AR6" s="221" t="s">
        <v>154</v>
      </c>
      <c r="AS6" s="220" t="s">
        <v>170</v>
      </c>
      <c r="AT6" s="220">
        <v>7.4999999999999997E-2</v>
      </c>
      <c r="AU6" s="119" t="e">
        <f>VLOOKUP(AP6,AQ1:AT147,4,0)</f>
        <v>#REF!</v>
      </c>
      <c r="AW6" s="229" t="s">
        <v>180</v>
      </c>
    </row>
    <row r="7" spans="1:49" ht="16.5" customHeight="1" x14ac:dyDescent="0.25">
      <c r="A7" s="120">
        <v>6</v>
      </c>
      <c r="B7" s="120" t="e">
        <f>IF(#REF!="","",#REF!)</f>
        <v>#REF!</v>
      </c>
      <c r="C7" s="120" t="str">
        <f>IFERROR(VLOOKUP(B7,#REF!,5,FALSE),"")</f>
        <v/>
      </c>
      <c r="D7" s="223" t="str">
        <f>IFERROR(VLOOKUP(B7,#REF!,4,FALSE),"")</f>
        <v/>
      </c>
      <c r="E7" s="120">
        <v>6</v>
      </c>
      <c r="F7" s="224" t="e">
        <f t="shared" si="0"/>
        <v>#REF!</v>
      </c>
      <c r="G7" s="225"/>
      <c r="H7" s="226" t="e">
        <f>IF(#REF!&lt;&gt;"",#REF!,"")</f>
        <v>#REF!</v>
      </c>
      <c r="I7" s="120" t="e">
        <f>IF(VLOOKUP(H7,#REF!,4,0)="√",1,0)</f>
        <v>#REF!</v>
      </c>
      <c r="J7" s="120" t="e">
        <f>IF(VLOOKUP(H7,#REF!,5,0)="√",1,0)</f>
        <v>#REF!</v>
      </c>
      <c r="K7" s="120"/>
      <c r="L7" s="227" t="s">
        <v>181</v>
      </c>
      <c r="M7" s="228">
        <v>2</v>
      </c>
      <c r="N7" s="228">
        <v>3</v>
      </c>
      <c r="O7" s="228">
        <v>4</v>
      </c>
      <c r="P7" s="228">
        <v>5</v>
      </c>
      <c r="Q7" s="228">
        <v>6</v>
      </c>
      <c r="R7" s="228">
        <v>7</v>
      </c>
      <c r="S7" s="228">
        <v>8</v>
      </c>
      <c r="T7" s="228">
        <v>9</v>
      </c>
      <c r="U7" s="228">
        <v>10</v>
      </c>
      <c r="V7" s="228">
        <v>11</v>
      </c>
      <c r="W7" s="228">
        <v>12</v>
      </c>
      <c r="X7" s="228">
        <v>12</v>
      </c>
      <c r="Y7" s="228">
        <v>13</v>
      </c>
      <c r="Z7" s="228">
        <v>13</v>
      </c>
      <c r="AA7" s="228">
        <v>14</v>
      </c>
      <c r="AB7" s="228">
        <v>14</v>
      </c>
      <c r="AC7" s="228">
        <v>15</v>
      </c>
      <c r="AD7" s="228">
        <v>15</v>
      </c>
      <c r="AE7" s="228">
        <v>15</v>
      </c>
      <c r="AF7" s="228">
        <v>15</v>
      </c>
      <c r="AI7" s="131" t="s">
        <v>182</v>
      </c>
      <c r="AK7" s="122" t="s">
        <v>183</v>
      </c>
      <c r="AL7" s="122">
        <v>6</v>
      </c>
      <c r="AO7" s="119" t="e">
        <f>IF(ISBLANK(#REF!),,INDEX(AR1:AT149,MATCH(#REF!&amp;"*",AQ1:AQ149,0),1))</f>
        <v>#REF!</v>
      </c>
      <c r="AP7" s="131" t="e">
        <f>IF(ISBLANK(#REF!),,INDEX(AQ1:AT149,MATCH(#REF!&amp;"*",AQ1:AQ149,0),1))</f>
        <v>#REF!</v>
      </c>
      <c r="AQ7" s="220" t="s">
        <v>184</v>
      </c>
      <c r="AR7" s="221" t="s">
        <v>154</v>
      </c>
      <c r="AS7" s="220" t="s">
        <v>185</v>
      </c>
      <c r="AT7" s="220">
        <v>7.4999999999999997E-2</v>
      </c>
      <c r="AU7" s="119" t="e">
        <f>VLOOKUP(AP7,AQ1:AT147,4,0)</f>
        <v>#REF!</v>
      </c>
      <c r="AW7" s="229" t="s">
        <v>186</v>
      </c>
    </row>
    <row r="8" spans="1:49" ht="16.5" customHeight="1" x14ac:dyDescent="0.25">
      <c r="A8" s="120">
        <v>7</v>
      </c>
      <c r="B8" s="120" t="e">
        <f>IF(#REF!="","",#REF!)</f>
        <v>#REF!</v>
      </c>
      <c r="C8" s="120" t="str">
        <f>IFERROR(VLOOKUP(B8,#REF!,5,FALSE),"")</f>
        <v/>
      </c>
      <c r="D8" s="223" t="str">
        <f>IFERROR(VLOOKUP(B8,#REF!,4,FALSE),"")</f>
        <v/>
      </c>
      <c r="E8" s="120">
        <v>7</v>
      </c>
      <c r="F8" s="224" t="e">
        <f t="shared" si="0"/>
        <v>#REF!</v>
      </c>
      <c r="G8" s="225"/>
      <c r="H8" s="226" t="e">
        <f>IF(#REF!&lt;&gt;"",#REF!,"")</f>
        <v>#REF!</v>
      </c>
      <c r="I8" s="120" t="e">
        <f>IF(VLOOKUP(H8,#REF!,4,0)="√",1,0)</f>
        <v>#REF!</v>
      </c>
      <c r="J8" s="120" t="e">
        <f>IF(VLOOKUP(H8,#REF!,5,0)="√",1,0)</f>
        <v>#REF!</v>
      </c>
      <c r="K8" s="120"/>
      <c r="L8" s="227" t="s">
        <v>187</v>
      </c>
      <c r="M8" s="228">
        <v>2</v>
      </c>
      <c r="N8" s="228">
        <v>3</v>
      </c>
      <c r="O8" s="228">
        <v>4</v>
      </c>
      <c r="P8" s="228">
        <v>5</v>
      </c>
      <c r="Q8" s="228">
        <v>6</v>
      </c>
      <c r="R8" s="228">
        <v>7</v>
      </c>
      <c r="S8" s="228">
        <v>8</v>
      </c>
      <c r="T8" s="228">
        <v>9</v>
      </c>
      <c r="U8" s="228">
        <v>10</v>
      </c>
      <c r="V8" s="228">
        <v>10</v>
      </c>
      <c r="W8" s="228">
        <v>11</v>
      </c>
      <c r="X8" s="228">
        <v>11</v>
      </c>
      <c r="Y8" s="228">
        <v>12</v>
      </c>
      <c r="Z8" s="228">
        <v>12</v>
      </c>
      <c r="AA8" s="228">
        <v>13</v>
      </c>
      <c r="AB8" s="228">
        <v>13</v>
      </c>
      <c r="AC8" s="228">
        <v>14</v>
      </c>
      <c r="AD8" s="228">
        <v>14</v>
      </c>
      <c r="AE8" s="228">
        <v>15</v>
      </c>
      <c r="AF8" s="228">
        <v>15</v>
      </c>
      <c r="AK8" s="122" t="s">
        <v>188</v>
      </c>
      <c r="AL8" s="122">
        <v>7</v>
      </c>
      <c r="AO8" s="119" t="e">
        <f>IF(ISBLANK(#REF!),,INDEX(AR1:AT149,MATCH(#REF!&amp;"*",AQ1:AQ149,0),1))</f>
        <v>#REF!</v>
      </c>
      <c r="AP8" s="131" t="e">
        <f>IF(ISBLANK(#REF!),,INDEX(AQ1:AT149,MATCH(#REF!&amp;"*",AQ1:AQ149,0),1))</f>
        <v>#REF!</v>
      </c>
      <c r="AQ8" s="220" t="s">
        <v>189</v>
      </c>
      <c r="AR8" s="221" t="s">
        <v>190</v>
      </c>
      <c r="AS8" s="220" t="s">
        <v>191</v>
      </c>
      <c r="AT8" s="220">
        <v>0.2</v>
      </c>
      <c r="AU8" s="119" t="e">
        <f>VLOOKUP(AP8,AQ1:AT147,4,0)</f>
        <v>#REF!</v>
      </c>
      <c r="AW8" s="229" t="s">
        <v>192</v>
      </c>
    </row>
    <row r="9" spans="1:49" ht="16.5" customHeight="1" x14ac:dyDescent="0.25">
      <c r="A9" s="120">
        <v>8</v>
      </c>
      <c r="B9" s="120" t="e">
        <f>IF(#REF!="","",#REF!)</f>
        <v>#REF!</v>
      </c>
      <c r="C9" s="120" t="str">
        <f>IFERROR(VLOOKUP(B9,#REF!,5,FALSE),"")</f>
        <v/>
      </c>
      <c r="D9" s="223" t="str">
        <f>IFERROR(VLOOKUP(B9,#REF!,4,FALSE),"")</f>
        <v/>
      </c>
      <c r="E9" s="120">
        <v>8</v>
      </c>
      <c r="F9" s="224" t="e">
        <f t="shared" si="0"/>
        <v>#REF!</v>
      </c>
      <c r="G9" s="225"/>
      <c r="H9" s="230" t="e">
        <f>IF(#REF!&lt;&gt;"",#REF!,"")</f>
        <v>#REF!</v>
      </c>
      <c r="I9" s="120" t="e">
        <f>IF(VLOOKUP(H9,#REF!,4,0)="√",1,0)</f>
        <v>#REF!</v>
      </c>
      <c r="J9" s="120" t="e">
        <f>IF(VLOOKUP(H9,#REF!,5,0)="√",1,0)</f>
        <v>#REF!</v>
      </c>
      <c r="K9" s="120"/>
      <c r="L9" s="227" t="s">
        <v>193</v>
      </c>
      <c r="M9" s="228" t="e">
        <f>职业!$AI$13+#REF!</f>
        <v>#REF!</v>
      </c>
      <c r="N9" s="228" t="e">
        <f>职业!$AI$13+#REF!</f>
        <v>#REF!</v>
      </c>
      <c r="O9" s="228" t="e">
        <f>职业!$AI$13+#REF!</f>
        <v>#REF!</v>
      </c>
      <c r="P9" s="228" t="e">
        <f>职业!$AI$13+#REF!</f>
        <v>#REF!</v>
      </c>
      <c r="Q9" s="228" t="e">
        <f>职业!$AI$13+#REF!</f>
        <v>#REF!</v>
      </c>
      <c r="R9" s="228" t="e">
        <f>职业!$AI$13+#REF!</f>
        <v>#REF!</v>
      </c>
      <c r="S9" s="228" t="e">
        <f>职业!$AI$13+#REF!</f>
        <v>#REF!</v>
      </c>
      <c r="T9" s="228" t="e">
        <f>职业!$AI$13+#REF!</f>
        <v>#REF!</v>
      </c>
      <c r="U9" s="228" t="e">
        <f>职业!$AI$13+#REF!</f>
        <v>#REF!</v>
      </c>
      <c r="V9" s="228" t="e">
        <f>职业!$AI$13+#REF!</f>
        <v>#REF!</v>
      </c>
      <c r="W9" s="228" t="e">
        <f>职业!$AI$13+#REF!</f>
        <v>#REF!</v>
      </c>
      <c r="X9" s="228" t="e">
        <f>职业!$AI$13+#REF!</f>
        <v>#REF!</v>
      </c>
      <c r="Y9" s="228" t="e">
        <f>职业!$AI$13+#REF!</f>
        <v>#REF!</v>
      </c>
      <c r="Z9" s="228" t="e">
        <f>职业!$AI$13+#REF!</f>
        <v>#REF!</v>
      </c>
      <c r="AA9" s="228" t="e">
        <f>职业!$AI$13+#REF!</f>
        <v>#REF!</v>
      </c>
      <c r="AB9" s="228" t="e">
        <f>职业!$AI$13+#REF!</f>
        <v>#REF!</v>
      </c>
      <c r="AC9" s="228" t="e">
        <f>职业!$AI$13+#REF!</f>
        <v>#REF!</v>
      </c>
      <c r="AD9" s="228" t="e">
        <f>职业!$AI$13+#REF!</f>
        <v>#REF!</v>
      </c>
      <c r="AE9" s="228" t="e">
        <f>职业!$AI$13+#REF!</f>
        <v>#REF!</v>
      </c>
      <c r="AF9" s="228" t="e">
        <f>职业!$AI$13+#REF!</f>
        <v>#REF!</v>
      </c>
      <c r="AG9" s="120"/>
      <c r="AH9" s="119" t="s">
        <v>62</v>
      </c>
      <c r="AI9" s="120" t="s">
        <v>162</v>
      </c>
      <c r="AJ9" s="120" t="e">
        <f>#REF!+IF(#REF!="主职业",#REF!,IF(#REF!="兼职1",#REF!,IF(#REF!="兼职2",#REF!,)))</f>
        <v>#REF!</v>
      </c>
      <c r="AK9" s="122" t="s">
        <v>194</v>
      </c>
      <c r="AL9" s="122">
        <v>8</v>
      </c>
      <c r="AO9" s="119" t="e">
        <f>IF(ISBLANK(#REF!),,INDEX(AR1:AT149,MATCH(#REF!&amp;"*",AQ1:AQ149,0),1))</f>
        <v>#REF!</v>
      </c>
      <c r="AP9" s="131" t="e">
        <f>IF(ISBLANK(#REF!),,INDEX(AQ1:AT149,MATCH(#REF!&amp;"*",AQ1:AQ149,0),1))</f>
        <v>#REF!</v>
      </c>
      <c r="AQ9" s="220" t="s">
        <v>195</v>
      </c>
      <c r="AR9" s="221" t="s">
        <v>196</v>
      </c>
      <c r="AS9" s="220" t="s">
        <v>166</v>
      </c>
      <c r="AT9" s="220">
        <v>0</v>
      </c>
      <c r="AU9" s="119" t="e">
        <f>VLOOKUP(AP9,AQ1:AT147,4,0)</f>
        <v>#REF!</v>
      </c>
      <c r="AW9" s="229" t="s">
        <v>197</v>
      </c>
    </row>
    <row r="10" spans="1:49" ht="16.5" customHeight="1" x14ac:dyDescent="0.25">
      <c r="A10" s="120">
        <v>9</v>
      </c>
      <c r="B10" s="120" t="e">
        <f>IF(#REF!="","",#REF!)</f>
        <v>#REF!</v>
      </c>
      <c r="C10" s="120" t="str">
        <f>IFERROR(VLOOKUP(B10,#REF!,5,FALSE),"")</f>
        <v/>
      </c>
      <c r="D10" s="223" t="str">
        <f>IFERROR(VLOOKUP(B10,#REF!,4,FALSE),"")</f>
        <v/>
      </c>
      <c r="E10" s="120">
        <v>9</v>
      </c>
      <c r="F10" s="224" t="e">
        <f t="shared" si="0"/>
        <v>#REF!</v>
      </c>
      <c r="G10" s="225"/>
      <c r="H10" s="230" t="e">
        <f>IF(#REF!&lt;&gt;"",#REF!,"")</f>
        <v>#REF!</v>
      </c>
      <c r="I10" s="120" t="e">
        <f>IF(VLOOKUP(H10,#REF!,4,0)="√",1,0)</f>
        <v>#REF!</v>
      </c>
      <c r="J10" s="120" t="e">
        <f>IF(VLOOKUP(H10,#REF!,5,0)="√",1,0)</f>
        <v>#REF!</v>
      </c>
      <c r="K10" s="120"/>
      <c r="AG10" s="120"/>
      <c r="AH10" s="119" t="s">
        <v>71</v>
      </c>
      <c r="AI10" s="120" t="s">
        <v>171</v>
      </c>
      <c r="AJ10" s="120" t="e">
        <f>#REF!+IF(#REF!="主职业",INT(#REF!/2),IF(#REF!="兼职1",INT(#REF!/2),IF(#REF!="兼职2",INT(#REF!/2),)))</f>
        <v>#REF!</v>
      </c>
      <c r="AK10" s="122" t="s">
        <v>198</v>
      </c>
      <c r="AL10" s="122">
        <v>9</v>
      </c>
      <c r="AO10" s="119" t="e">
        <f>IF(ISBLANK(#REF!),,INDEX(AR1:AT149,MATCH(#REF!&amp;"*",AQ1:AQ149,0),1))</f>
        <v>#REF!</v>
      </c>
      <c r="AP10" s="131" t="e">
        <f>IF(ISBLANK(#REF!),,INDEX(AQ1:AT149,MATCH(#REF!&amp;"*",AQ1:AQ149,0),1))</f>
        <v>#REF!</v>
      </c>
      <c r="AQ10" s="220" t="s">
        <v>199</v>
      </c>
      <c r="AR10" s="221" t="s">
        <v>200</v>
      </c>
      <c r="AS10" s="220" t="s">
        <v>201</v>
      </c>
      <c r="AT10" s="220">
        <v>1</v>
      </c>
      <c r="AU10" s="119" t="e">
        <f>VLOOKUP(AP10,AQ1:AT147,4,0)</f>
        <v>#REF!</v>
      </c>
      <c r="AW10" s="229" t="s">
        <v>202</v>
      </c>
    </row>
    <row r="11" spans="1:49" ht="16.5" customHeight="1" x14ac:dyDescent="0.25">
      <c r="A11" s="120">
        <v>10</v>
      </c>
      <c r="B11" s="120" t="e">
        <f>IF(#REF!="","",#REF!)</f>
        <v>#REF!</v>
      </c>
      <c r="C11" s="120" t="str">
        <f>IFERROR(VLOOKUP(B11,#REF!,5,FALSE),"")</f>
        <v/>
      </c>
      <c r="D11" s="223" t="str">
        <f>IFERROR(VLOOKUP(B11,#REF!,4,FALSE),"")</f>
        <v/>
      </c>
      <c r="E11" s="120">
        <v>10</v>
      </c>
      <c r="F11" s="224" t="e">
        <f t="shared" si="0"/>
        <v>#REF!</v>
      </c>
      <c r="G11" s="225"/>
      <c r="H11" s="230" t="e">
        <f>IF(#REF!&lt;&gt;"",#REF!,"")</f>
        <v>#REF!</v>
      </c>
      <c r="I11" s="120" t="e">
        <f>IF(VLOOKUP(H11,#REF!,4,0)="√",1,0)</f>
        <v>#REF!</v>
      </c>
      <c r="J11" s="120" t="e">
        <f>IF(VLOOKUP(H11,#REF!,5,0)="√",1,0)</f>
        <v>#REF!</v>
      </c>
      <c r="K11" s="120"/>
      <c r="L11" s="217" t="s">
        <v>62</v>
      </c>
      <c r="M11" s="217" t="e">
        <f>IF(#REF!="","",#REF!)</f>
        <v>#REF!</v>
      </c>
      <c r="AG11" s="120"/>
      <c r="AH11" s="119" t="s">
        <v>72</v>
      </c>
      <c r="AI11" s="120" t="s">
        <v>168</v>
      </c>
      <c r="AJ11" s="120" t="e">
        <f>#REF!+IF(#REF!="主职业",#REF!,IF(#REF!="兼职1",#REF!,IF(#REF!="兼职2",#REF!,)))</f>
        <v>#REF!</v>
      </c>
      <c r="AO11" s="119" t="e">
        <f>IF(ISBLANK(#REF!),,INDEX(AR1:AT149,MATCH(#REF!&amp;"*",AQ1:AQ149,0),1))</f>
        <v>#REF!</v>
      </c>
      <c r="AP11" s="131" t="e">
        <f>IF(ISBLANK(#REF!),,INDEX(AQ1:AT149,MATCH(#REF!&amp;"*",AQ1:AQ149,0),1))</f>
        <v>#REF!</v>
      </c>
      <c r="AQ11" s="220" t="s">
        <v>203</v>
      </c>
      <c r="AR11" s="221" t="s">
        <v>200</v>
      </c>
      <c r="AS11" s="220" t="s">
        <v>204</v>
      </c>
      <c r="AT11" s="220">
        <v>3</v>
      </c>
      <c r="AU11" s="119" t="e">
        <f>VLOOKUP(AP11,AQ1:AT147,4,0)</f>
        <v>#REF!</v>
      </c>
      <c r="AW11" s="229" t="s">
        <v>40</v>
      </c>
    </row>
    <row r="12" spans="1:49" ht="16.5" customHeight="1" x14ac:dyDescent="0.25">
      <c r="A12" s="120">
        <v>11</v>
      </c>
      <c r="B12" s="120" t="e">
        <f>IF(#REF!="","",#REF!)</f>
        <v>#REF!</v>
      </c>
      <c r="C12" s="120" t="str">
        <f>IFERROR(VLOOKUP(B12,#REF!,5,FALSE),"")</f>
        <v/>
      </c>
      <c r="D12" s="223" t="str">
        <f>IFERROR(VLOOKUP(B12,#REF!,4,FALSE),"")</f>
        <v/>
      </c>
      <c r="E12" s="120">
        <v>11</v>
      </c>
      <c r="F12" s="224" t="e">
        <f t="shared" si="0"/>
        <v>#REF!</v>
      </c>
      <c r="G12" s="225"/>
      <c r="H12" s="230" t="e">
        <f>IF(#REF!&lt;&gt;"",#REF!,"")</f>
        <v>#REF!</v>
      </c>
      <c r="I12" s="120" t="e">
        <f>IF(VLOOKUP(H12,#REF!,4,0)="√",1,0)</f>
        <v>#REF!</v>
      </c>
      <c r="J12" s="120" t="e">
        <f>IF(VLOOKUP(H12,#REF!,5,0)="√",1,0)</f>
        <v>#REF!</v>
      </c>
      <c r="K12" s="120"/>
      <c r="L12" s="217" t="s">
        <v>71</v>
      </c>
      <c r="M12" s="217" t="e">
        <f>IF(#REF!="","",#REF!)</f>
        <v>#REF!</v>
      </c>
      <c r="AI12" s="120" t="s">
        <v>193</v>
      </c>
      <c r="AJ12" s="120" t="e">
        <f>#REF!+IF(#REF!="主职业",#REF!,IF(#REF!="兼职1",#REF!,IF(#REF!="兼职2",#REF!,)))</f>
        <v>#REF!</v>
      </c>
      <c r="AL12" s="231"/>
      <c r="AP12" s="131"/>
      <c r="AQ12" s="220" t="s">
        <v>205</v>
      </c>
      <c r="AR12" s="221" t="s">
        <v>200</v>
      </c>
      <c r="AS12" s="220" t="s">
        <v>201</v>
      </c>
      <c r="AT12" s="220">
        <v>2</v>
      </c>
      <c r="AW12" s="229" t="s">
        <v>206</v>
      </c>
    </row>
    <row r="13" spans="1:49" ht="16.5" customHeight="1" x14ac:dyDescent="0.25">
      <c r="A13" s="120">
        <v>12</v>
      </c>
      <c r="B13" s="120" t="e">
        <f>IF(#REF!="","",#REF!)</f>
        <v>#REF!</v>
      </c>
      <c r="C13" s="120" t="str">
        <f>IFERROR(VLOOKUP(B13,#REF!,5,FALSE),"")</f>
        <v/>
      </c>
      <c r="D13" s="223" t="str">
        <f>IFERROR(VLOOKUP(B13,#REF!,4,FALSE),"")</f>
        <v/>
      </c>
      <c r="E13" s="120">
        <v>12</v>
      </c>
      <c r="F13" s="224" t="e">
        <f t="shared" si="0"/>
        <v>#REF!</v>
      </c>
      <c r="G13" s="225"/>
      <c r="H13" s="230" t="e">
        <f>IF(#REF!&lt;&gt;"",#REF!,"")</f>
        <v>#REF!</v>
      </c>
      <c r="I13" s="120" t="e">
        <f>IF(VLOOKUP(H13,#REF!,4,0)="√",1,0)</f>
        <v>#REF!</v>
      </c>
      <c r="J13" s="120" t="e">
        <f>IF(VLOOKUP(H13,#REF!,5,0)="√",1,0)</f>
        <v>#REF!</v>
      </c>
      <c r="K13" s="120"/>
      <c r="L13" s="217" t="s">
        <v>72</v>
      </c>
      <c r="M13" s="217" t="e">
        <f>IF(#REF!="","",#REF!)</f>
        <v>#REF!</v>
      </c>
      <c r="AI13" s="120" t="s">
        <v>207</v>
      </c>
      <c r="AJ13" s="120" t="e">
        <f>#REF!+IF(#REF!="主职业",INT(#REF!/2),IF(#REF!="兼职1",INT(#REF!/2),IF(#REF!="兼职2",INT(#REF!/2),)))</f>
        <v>#REF!</v>
      </c>
      <c r="AO13" s="119" t="e">
        <f>IF(ISBLANK(#REF!),,INDEX(AR1:AT149,MATCH(#REF!&amp;"*",AQ1:AQ149,0),1))</f>
        <v>#REF!</v>
      </c>
      <c r="AP13" s="131" t="e">
        <f>IF(ISBLANK(#REF!),,INDEX(AQ1:AT149,MATCH(#REF!&amp;"*",AQ1:AQ149,0),1))</f>
        <v>#REF!</v>
      </c>
      <c r="AQ13" s="220" t="s">
        <v>208</v>
      </c>
      <c r="AR13" s="221" t="s">
        <v>200</v>
      </c>
      <c r="AS13" s="220" t="s">
        <v>209</v>
      </c>
      <c r="AT13" s="220">
        <v>4</v>
      </c>
      <c r="AU13" s="119" t="e">
        <f>VLOOKUP(AP13,AQ1:AT147,4,0)</f>
        <v>#REF!</v>
      </c>
      <c r="AW13" s="229" t="s">
        <v>210</v>
      </c>
    </row>
    <row r="14" spans="1:49" ht="16.5" customHeight="1" x14ac:dyDescent="0.25">
      <c r="A14" s="120">
        <v>13</v>
      </c>
      <c r="B14" s="120" t="e">
        <f>IF(#REF!="","",#REF!)</f>
        <v>#REF!</v>
      </c>
      <c r="C14" s="120" t="str">
        <f>IFERROR(VLOOKUP(B14,#REF!,5,FALSE),"")</f>
        <v/>
      </c>
      <c r="D14" s="223" t="str">
        <f>IFERROR(VLOOKUP(B14,#REF!,4,FALSE),"")</f>
        <v/>
      </c>
      <c r="E14" s="120">
        <v>13</v>
      </c>
      <c r="F14" s="224" t="e">
        <f t="shared" si="0"/>
        <v>#REF!</v>
      </c>
      <c r="G14" s="225"/>
      <c r="H14" s="230" t="e">
        <f>IF(#REF!&lt;&gt;"",#REF!,"")</f>
        <v>#REF!</v>
      </c>
      <c r="I14" s="120" t="e">
        <f>IF(VLOOKUP(H14,#REF!,4,0)="√",1,0)</f>
        <v>#REF!</v>
      </c>
      <c r="J14" s="120" t="e">
        <f>IF(VLOOKUP(H14,#REF!,5,0)="√",1,0)</f>
        <v>#REF!</v>
      </c>
      <c r="K14" s="120"/>
      <c r="L14" s="217" t="str">
        <f>IFERROR(IF(#REF!="主职业",VLOOKUP(M11,L1:AF9,#REF!+1,IF(#REF!="兼职1",VLOOKUP(M12,L1:AF9,#REF!+1,IF(#REF!="兼职2",VLOOKUP(M13,L1:AF9,#REF!+1,0)))))),"")</f>
        <v/>
      </c>
      <c r="AJ14" s="120"/>
      <c r="AL14" s="120" t="s">
        <v>100</v>
      </c>
      <c r="AO14" s="119" t="e">
        <f>IF(ISBLANK(#REF!),,INDEX(AR1:AT149,MATCH(#REF!&amp;"*",AQ1:AQ149,0),1))</f>
        <v>#REF!</v>
      </c>
      <c r="AP14" s="131" t="e">
        <f>IF(ISBLANK(#REF!),,INDEX(AQ1:AT149,MATCH(#REF!&amp;"*",AQ1:AQ149,0),1))</f>
        <v>#REF!</v>
      </c>
      <c r="AQ14" s="220" t="s">
        <v>211</v>
      </c>
      <c r="AR14" s="221" t="s">
        <v>200</v>
      </c>
      <c r="AS14" s="220" t="s">
        <v>201</v>
      </c>
      <c r="AT14" s="220">
        <v>1</v>
      </c>
      <c r="AU14" s="119" t="e">
        <f>VLOOKUP(AP14,AQ1:AT147,4,0)</f>
        <v>#REF!</v>
      </c>
      <c r="AW14" s="229" t="s">
        <v>212</v>
      </c>
    </row>
    <row r="15" spans="1:49" ht="16.5" customHeight="1" x14ac:dyDescent="0.25">
      <c r="A15" s="120">
        <v>14</v>
      </c>
      <c r="B15" s="120" t="e">
        <f>IF(#REF!="","",#REF!)</f>
        <v>#REF!</v>
      </c>
      <c r="C15" s="120" t="str">
        <f>IFERROR(VLOOKUP(B15,#REF!,5,FALSE),"")</f>
        <v/>
      </c>
      <c r="D15" s="223" t="str">
        <f>IFERROR(VLOOKUP(B15,#REF!,4,FALSE),"")</f>
        <v/>
      </c>
      <c r="E15" s="120">
        <v>14</v>
      </c>
      <c r="F15" s="224" t="e">
        <f t="shared" si="0"/>
        <v>#REF!</v>
      </c>
      <c r="G15" s="225"/>
      <c r="H15" s="230" t="e">
        <f>IF(#REF!&lt;&gt;"",#REF!,"")</f>
        <v>#REF!</v>
      </c>
      <c r="I15" s="120" t="e">
        <f>IF(VLOOKUP(H15,#REF!,4,0)="√",1,0)</f>
        <v>#REF!</v>
      </c>
      <c r="J15" s="120" t="e">
        <f>IF(VLOOKUP(H15,#REF!,5,0)="√",1,0)</f>
        <v>#REF!</v>
      </c>
      <c r="K15" s="120"/>
      <c r="AG15" s="120"/>
      <c r="AI15" s="120"/>
      <c r="AJ15" s="120"/>
      <c r="AL15" s="120" t="s">
        <v>213</v>
      </c>
      <c r="AO15" s="119" t="e">
        <f>IF(ISBLANK(#REF!),,INDEX(AR1:AT149,MATCH(#REF!&amp;"*",AQ1:AQ149,0),1))</f>
        <v>#REF!</v>
      </c>
      <c r="AP15" s="131" t="e">
        <f>IF(ISBLANK(#REF!),,INDEX(AQ1:AT149,MATCH(#REF!&amp;"*",AQ1:AQ149,0),1))</f>
        <v>#REF!</v>
      </c>
      <c r="AQ15" s="220" t="s">
        <v>214</v>
      </c>
      <c r="AR15" s="221" t="s">
        <v>215</v>
      </c>
      <c r="AS15" s="220" t="s">
        <v>155</v>
      </c>
      <c r="AT15" s="220">
        <v>5</v>
      </c>
      <c r="AU15" s="119" t="e">
        <f>VLOOKUP(AP15,AQ1:AT147,4,0)</f>
        <v>#REF!</v>
      </c>
      <c r="AW15" s="229" t="s">
        <v>216</v>
      </c>
    </row>
    <row r="16" spans="1:49" ht="16.5" customHeight="1" x14ac:dyDescent="0.25">
      <c r="A16" s="120">
        <v>15</v>
      </c>
      <c r="B16" s="120" t="e">
        <f>IF(#REF!="","",#REF!)</f>
        <v>#REF!</v>
      </c>
      <c r="C16" s="120" t="str">
        <f>IFERROR(VLOOKUP(B16,#REF!,5,FALSE),"")</f>
        <v/>
      </c>
      <c r="D16" s="223" t="str">
        <f>IFERROR(VLOOKUP(B16,#REF!,4,FALSE),"")</f>
        <v/>
      </c>
      <c r="E16" s="120">
        <v>15</v>
      </c>
      <c r="F16" s="224" t="e">
        <f t="shared" si="0"/>
        <v>#REF!</v>
      </c>
      <c r="G16" s="225"/>
      <c r="H16" s="230" t="e">
        <f>IF(#REF!&lt;&gt;"",#REF!,"")</f>
        <v>#REF!</v>
      </c>
      <c r="I16" s="120" t="e">
        <f>IF(VLOOKUP(H16,#REF!,4,0)="√",1,0)</f>
        <v>#REF!</v>
      </c>
      <c r="J16" s="120" t="e">
        <f>IF(VLOOKUP(H16,#REF!,5,0)="√",1,0)</f>
        <v>#REF!</v>
      </c>
      <c r="K16" s="120"/>
      <c r="AG16" s="120"/>
      <c r="AI16" s="120"/>
      <c r="AJ16" s="120"/>
      <c r="AL16" s="120" t="s">
        <v>217</v>
      </c>
      <c r="AO16" s="119" t="e">
        <f>IF(ISBLANK(#REF!),,INDEX(AR1:AT149,MATCH(#REF!&amp;"*",AQ1:AQ149,0),1))</f>
        <v>#REF!</v>
      </c>
      <c r="AP16" s="131" t="e">
        <f>IF(ISBLANK(#REF!),,INDEX(AQ1:AT149,MATCH(#REF!&amp;"*",AQ1:AQ149,0),1))</f>
        <v>#REF!</v>
      </c>
      <c r="AQ16" s="220" t="s">
        <v>218</v>
      </c>
      <c r="AR16" s="221" t="s">
        <v>219</v>
      </c>
      <c r="AS16" s="220" t="s">
        <v>170</v>
      </c>
      <c r="AT16" s="220">
        <v>2</v>
      </c>
      <c r="AU16" s="119" t="e">
        <f>VLOOKUP(AP16,AQ1:AT147,4,0)</f>
        <v>#REF!</v>
      </c>
      <c r="AW16" s="229" t="s">
        <v>41</v>
      </c>
    </row>
    <row r="17" spans="1:49" ht="16.5" customHeight="1" x14ac:dyDescent="0.25">
      <c r="A17" s="120">
        <v>16</v>
      </c>
      <c r="B17" s="120" t="e">
        <f>IF(#REF!="","",#REF!)</f>
        <v>#REF!</v>
      </c>
      <c r="C17" s="120" t="str">
        <f>IFERROR(VLOOKUP(B17,#REF!,5,FALSE),"")</f>
        <v/>
      </c>
      <c r="D17" s="223" t="str">
        <f>IFERROR(VLOOKUP(B17,#REF!,4,FALSE),"")</f>
        <v/>
      </c>
      <c r="E17" s="120">
        <v>16</v>
      </c>
      <c r="F17" s="224" t="e">
        <f t="shared" si="0"/>
        <v>#REF!</v>
      </c>
      <c r="G17" s="225"/>
      <c r="H17" s="230" t="e">
        <f>IF(#REF!&lt;&gt;"",#REF!,"")</f>
        <v>#REF!</v>
      </c>
      <c r="I17" s="120" t="e">
        <f>IF(VLOOKUP(H17,#REF!,4,0)="√",1,0)</f>
        <v>#REF!</v>
      </c>
      <c r="J17" s="120" t="e">
        <f>IF(VLOOKUP(H17,#REF!,5,0)="√",1,0)</f>
        <v>#REF!</v>
      </c>
      <c r="K17" s="120"/>
      <c r="AG17" s="120"/>
      <c r="AL17" s="120" t="s">
        <v>101</v>
      </c>
      <c r="AO17" s="119" t="e">
        <f>IF(ISBLANK(#REF!),,INDEX(AR1:AT149,MATCH(#REF!&amp;"*",AQ1:AQ149,0),1))</f>
        <v>#REF!</v>
      </c>
      <c r="AP17" s="131" t="e">
        <f>IF(ISBLANK(#REF!),,INDEX(AQ1:AT149,MATCH(#REF!&amp;"*",AQ1:AQ149,0),1))</f>
        <v>#REF!</v>
      </c>
      <c r="AQ17" s="220" t="s">
        <v>220</v>
      </c>
      <c r="AR17" s="221" t="s">
        <v>221</v>
      </c>
      <c r="AS17" s="220" t="s">
        <v>155</v>
      </c>
      <c r="AT17" s="220">
        <v>70</v>
      </c>
      <c r="AU17" s="119" t="e">
        <f>VLOOKUP(AP17,AQ1:AT147,4,0)</f>
        <v>#REF!</v>
      </c>
      <c r="AW17" s="229" t="s">
        <v>222</v>
      </c>
    </row>
    <row r="18" spans="1:49" ht="16.5" customHeight="1" x14ac:dyDescent="0.25">
      <c r="A18" s="120">
        <v>17</v>
      </c>
      <c r="B18" s="120" t="e">
        <f>IF(#REF!="","",#REF!)</f>
        <v>#REF!</v>
      </c>
      <c r="C18" s="120" t="str">
        <f>IFERROR(VLOOKUP(B18,#REF!,5,FALSE),"")</f>
        <v/>
      </c>
      <c r="D18" s="223" t="str">
        <f>IFERROR(VLOOKUP(B18,#REF!,4,FALSE),"")</f>
        <v/>
      </c>
      <c r="E18" s="120">
        <v>17</v>
      </c>
      <c r="F18" s="224" t="e">
        <f t="shared" si="0"/>
        <v>#REF!</v>
      </c>
      <c r="G18" s="225"/>
      <c r="H18" s="230" t="e">
        <f>IF(#REF!&lt;&gt;"",#REF!,"")</f>
        <v>#REF!</v>
      </c>
      <c r="I18" s="120" t="e">
        <f>IF(VLOOKUP(H18,#REF!,4,0)="√",1,0)</f>
        <v>#REF!</v>
      </c>
      <c r="J18" s="120" t="e">
        <f>IF(VLOOKUP(H18,#REF!,5,0)="√",1,0)</f>
        <v>#REF!</v>
      </c>
      <c r="K18" s="120"/>
      <c r="M18" s="232" t="s">
        <v>150</v>
      </c>
      <c r="N18" s="232" t="s">
        <v>223</v>
      </c>
      <c r="O18" s="232" t="s">
        <v>224</v>
      </c>
      <c r="P18" s="232" t="s">
        <v>225</v>
      </c>
      <c r="Q18" s="232" t="s">
        <v>226</v>
      </c>
      <c r="V18" s="233" t="s">
        <v>139</v>
      </c>
      <c r="W18" s="233" t="s">
        <v>140</v>
      </c>
      <c r="X18" s="233" t="s">
        <v>227</v>
      </c>
      <c r="Y18" s="233" t="s">
        <v>228</v>
      </c>
      <c r="AG18" s="120"/>
      <c r="AI18" s="273" t="s">
        <v>76</v>
      </c>
      <c r="AJ18" s="273"/>
      <c r="AL18" s="120" t="s">
        <v>229</v>
      </c>
      <c r="AO18" s="119" t="e">
        <f>IF(ISBLANK(#REF!),,INDEX(AR1:AT149,MATCH(#REF!&amp;"*",AQ1:AQ149,0),1))</f>
        <v>#REF!</v>
      </c>
      <c r="AP18" s="131" t="e">
        <f>IF(ISBLANK(#REF!),,INDEX(AQ1:AT149,MATCH(#REF!&amp;"*",AQ1:AQ149,0),1))</f>
        <v>#REF!</v>
      </c>
      <c r="AQ18" s="220" t="s">
        <v>230</v>
      </c>
      <c r="AR18" s="221" t="s">
        <v>231</v>
      </c>
      <c r="AS18" s="220" t="s">
        <v>232</v>
      </c>
      <c r="AT18" s="220">
        <v>2</v>
      </c>
      <c r="AU18" s="119" t="e">
        <f>VLOOKUP(AP18,AQ1:AT147,4,0)</f>
        <v>#REF!</v>
      </c>
      <c r="AW18" s="229" t="s">
        <v>233</v>
      </c>
    </row>
    <row r="19" spans="1:49" ht="16.5" customHeight="1" x14ac:dyDescent="0.25">
      <c r="A19" s="120">
        <v>18</v>
      </c>
      <c r="B19" s="120" t="e">
        <f>IF(#REF!="","",#REF!)</f>
        <v>#REF!</v>
      </c>
      <c r="C19" s="120" t="str">
        <f>IFERROR(VLOOKUP(B19,#REF!,5,FALSE),"")</f>
        <v/>
      </c>
      <c r="D19" s="223" t="str">
        <f>IFERROR(VLOOKUP(B19,#REF!,4,FALSE),"")</f>
        <v/>
      </c>
      <c r="E19" s="120">
        <v>18</v>
      </c>
      <c r="F19" s="224" t="e">
        <f t="shared" si="0"/>
        <v>#REF!</v>
      </c>
      <c r="G19" s="225"/>
      <c r="H19" s="230" t="e">
        <f>IF(#REF!&lt;&gt;"",#REF!,"")</f>
        <v>#REF!</v>
      </c>
      <c r="I19" s="120" t="e">
        <f>IF(VLOOKUP(H19,#REF!,4,0)="√",1,0)</f>
        <v>#REF!</v>
      </c>
      <c r="J19" s="120" t="e">
        <f>IF(VLOOKUP(H19,#REF!,5,0)="√",1,0)</f>
        <v>#REF!</v>
      </c>
      <c r="K19" s="120"/>
      <c r="M19" s="232">
        <v>1</v>
      </c>
      <c r="N19" s="232" t="s">
        <v>234</v>
      </c>
      <c r="O19" s="232" t="s">
        <v>235</v>
      </c>
      <c r="P19" s="232" t="s">
        <v>236</v>
      </c>
      <c r="Q19" s="232" t="s">
        <v>237</v>
      </c>
      <c r="V19" s="233" t="e">
        <f>SUM(#REF!*#REF!)</f>
        <v>#REF!</v>
      </c>
      <c r="W19" s="233" t="e">
        <f>SUM(#REF!*#REF!)</f>
        <v>#REF!</v>
      </c>
      <c r="X19" s="233" t="e">
        <f>SUM(#REF!*#REF!)</f>
        <v>#REF!</v>
      </c>
      <c r="Y19" s="233" t="e">
        <f>SUM(#REF!*#REF!)</f>
        <v>#REF!</v>
      </c>
      <c r="AI19" s="234" t="s">
        <v>238</v>
      </c>
      <c r="AJ19" s="234" t="s">
        <v>59</v>
      </c>
      <c r="AL19" s="120" t="s">
        <v>239</v>
      </c>
      <c r="AO19" s="119" t="e">
        <f>IF(ISBLANK(#REF!),,INDEX(AR1:AT149,MATCH(#REF!&amp;"*",AQ1:AQ149,0),1))</f>
        <v>#REF!</v>
      </c>
      <c r="AP19" s="131" t="e">
        <f>IF(ISBLANK(#REF!),,INDEX(AQ1:AT149,MATCH(#REF!&amp;"*",AQ1:AQ149,0),1))</f>
        <v>#REF!</v>
      </c>
      <c r="AQ19" s="220" t="s">
        <v>240</v>
      </c>
      <c r="AR19" s="221" t="s">
        <v>154</v>
      </c>
      <c r="AS19" s="220" t="s">
        <v>170</v>
      </c>
      <c r="AT19" s="220">
        <v>7</v>
      </c>
      <c r="AU19" s="119" t="e">
        <f>VLOOKUP(AP19,AQ1:AT147,4,0)</f>
        <v>#REF!</v>
      </c>
      <c r="AW19" s="229" t="s">
        <v>241</v>
      </c>
    </row>
    <row r="20" spans="1:49" ht="16.5" customHeight="1" x14ac:dyDescent="0.25">
      <c r="A20" s="120">
        <v>19</v>
      </c>
      <c r="B20" s="120" t="e">
        <f>IF(#REF!="","",#REF!)</f>
        <v>#REF!</v>
      </c>
      <c r="C20" s="120" t="str">
        <f>IFERROR(VLOOKUP(B20,#REF!,5,FALSE),"")</f>
        <v/>
      </c>
      <c r="D20" s="223" t="str">
        <f>IFERROR(VLOOKUP(B20,#REF!,4,FALSE),"")</f>
        <v/>
      </c>
      <c r="E20" s="120">
        <v>19</v>
      </c>
      <c r="F20" s="224" t="e">
        <f t="shared" si="0"/>
        <v>#REF!</v>
      </c>
      <c r="G20" s="225"/>
      <c r="H20" s="230" t="e">
        <f>IF(#REF!&lt;&gt;"",#REF!,"")</f>
        <v>#REF!</v>
      </c>
      <c r="I20" s="120" t="e">
        <f>IF(VLOOKUP(H20,#REF!,4,0)="√",1,0)</f>
        <v>#REF!</v>
      </c>
      <c r="J20" s="120" t="e">
        <f>IF(VLOOKUP(H20,#REF!,5,0)="√",1,0)</f>
        <v>#REF!</v>
      </c>
      <c r="K20" s="120"/>
      <c r="M20" s="232">
        <v>2</v>
      </c>
      <c r="N20" s="232" t="s">
        <v>242</v>
      </c>
      <c r="O20" s="232" t="s">
        <v>243</v>
      </c>
      <c r="P20" s="232" t="s">
        <v>244</v>
      </c>
      <c r="Q20" s="232" t="s">
        <v>243</v>
      </c>
      <c r="V20" s="233" t="e">
        <f>SUM(#REF!*#REF!)</f>
        <v>#REF!</v>
      </c>
      <c r="W20" s="233" t="e">
        <f>SUM(#REF!*#REF!)</f>
        <v>#REF!</v>
      </c>
      <c r="X20" s="233" t="e">
        <f>SUM(#REF!*#REF!)</f>
        <v>#REF!</v>
      </c>
      <c r="Y20" s="233" t="e">
        <f>SUM(#REF!*#REF!)</f>
        <v>#REF!</v>
      </c>
      <c r="AI20" s="235">
        <v>0</v>
      </c>
      <c r="AJ20" s="235">
        <v>1</v>
      </c>
      <c r="AL20" s="120" t="s">
        <v>245</v>
      </c>
      <c r="AO20" s="119" t="e">
        <f>IF(ISBLANK(#REF!),,INDEX(AR1:AT149,MATCH(#REF!&amp;"*",AQ1:AQ149,0),1))</f>
        <v>#REF!</v>
      </c>
      <c r="AP20" s="131" t="e">
        <f>IF(ISBLANK(#REF!),,INDEX(AQ1:AT149,MATCH(#REF!&amp;"*",AQ1:AQ149,0),1))</f>
        <v>#REF!</v>
      </c>
      <c r="AQ20" s="220" t="s">
        <v>246</v>
      </c>
      <c r="AR20" s="221" t="s">
        <v>154</v>
      </c>
      <c r="AS20" s="220" t="s">
        <v>170</v>
      </c>
      <c r="AT20" s="220">
        <v>0</v>
      </c>
      <c r="AU20" s="119" t="e">
        <f>VLOOKUP(AP20,AQ1:AT147,4,0)</f>
        <v>#REF!</v>
      </c>
      <c r="AW20" s="229" t="s">
        <v>247</v>
      </c>
    </row>
    <row r="21" spans="1:49" ht="16.5" customHeight="1" x14ac:dyDescent="0.25">
      <c r="A21" s="120">
        <v>20</v>
      </c>
      <c r="B21" s="120" t="e">
        <f>IF(#REF!="","",#REF!)</f>
        <v>#REF!</v>
      </c>
      <c r="C21" s="120" t="str">
        <f>IFERROR(VLOOKUP(B21,#REF!,5,FALSE),"")</f>
        <v/>
      </c>
      <c r="D21" s="223" t="str">
        <f>IFERROR(VLOOKUP(B21,#REF!,4,FALSE),"")</f>
        <v/>
      </c>
      <c r="E21" s="120">
        <v>20</v>
      </c>
      <c r="F21" s="224" t="e">
        <f t="shared" si="0"/>
        <v>#REF!</v>
      </c>
      <c r="G21" s="225"/>
      <c r="H21" s="230" t="e">
        <f>IF(#REF!&lt;&gt;"",#REF!,"")</f>
        <v>#REF!</v>
      </c>
      <c r="I21" s="120" t="e">
        <f>IF(VLOOKUP(H21,#REF!,4,0)="√",1,0)</f>
        <v>#REF!</v>
      </c>
      <c r="J21" s="120" t="e">
        <f>IF(VLOOKUP(H21,#REF!,5,0)="√",1,0)</f>
        <v>#REF!</v>
      </c>
      <c r="K21" s="120"/>
      <c r="M21" s="232">
        <v>3</v>
      </c>
      <c r="N21" s="232" t="s">
        <v>248</v>
      </c>
      <c r="O21" s="232" t="s">
        <v>249</v>
      </c>
      <c r="P21" s="232" t="s">
        <v>250</v>
      </c>
      <c r="Q21" s="232" t="s">
        <v>251</v>
      </c>
      <c r="V21" s="233" t="e">
        <f>SUM(#REF!*#REF!)</f>
        <v>#REF!</v>
      </c>
      <c r="W21" s="233" t="e">
        <f>SUM(#REF!*#REF!)</f>
        <v>#REF!</v>
      </c>
      <c r="X21" s="233" t="e">
        <f>SUM(#REF!*#REF!)</f>
        <v>#REF!</v>
      </c>
      <c r="Y21" s="233" t="e">
        <f>SUM(#REF!*#REF!)</f>
        <v>#REF!</v>
      </c>
      <c r="AI21" s="235">
        <v>300</v>
      </c>
      <c r="AJ21" s="235">
        <v>2</v>
      </c>
      <c r="AO21" s="119" t="e">
        <f>IF(ISBLANK(#REF!),,INDEX(AR1:AT149,MATCH(#REF!&amp;"*",AQ1:AQ149,0),1))</f>
        <v>#REF!</v>
      </c>
      <c r="AP21" s="131" t="e">
        <f>IF(ISBLANK(#REF!),,INDEX(AQ1:AT149,MATCH(#REF!&amp;"*",AQ1:AQ149,0),1))</f>
        <v>#REF!</v>
      </c>
      <c r="AQ21" s="220" t="s">
        <v>252</v>
      </c>
      <c r="AR21" s="221" t="s">
        <v>154</v>
      </c>
      <c r="AS21" s="220" t="s">
        <v>253</v>
      </c>
      <c r="AT21" s="220">
        <v>3</v>
      </c>
      <c r="AU21" s="119" t="e">
        <f>VLOOKUP(AP21,AQ1:AT147,4,0)</f>
        <v>#REF!</v>
      </c>
      <c r="AW21" s="229" t="s">
        <v>254</v>
      </c>
    </row>
    <row r="22" spans="1:49" ht="16.5" customHeight="1" x14ac:dyDescent="0.25">
      <c r="A22" s="120">
        <v>21</v>
      </c>
      <c r="B22" s="120" t="e">
        <f>IF(#REF!="","",#REF!)</f>
        <v>#REF!</v>
      </c>
      <c r="C22" s="120" t="str">
        <f>IFERROR(VLOOKUP(B22,#REF!,5,FALSE),"")</f>
        <v/>
      </c>
      <c r="D22" s="223" t="str">
        <f>IFERROR(VLOOKUP(B22,#REF!,4,FALSE),"")</f>
        <v/>
      </c>
      <c r="E22" s="120">
        <v>21</v>
      </c>
      <c r="F22" s="224" t="e">
        <f t="shared" si="0"/>
        <v>#REF!</v>
      </c>
      <c r="G22" s="225"/>
      <c r="H22" s="230" t="e">
        <f>IF(#REF!&lt;&gt;"",#REF!,"")</f>
        <v>#REF!</v>
      </c>
      <c r="I22" s="120" t="e">
        <f>IF(VLOOKUP(H22,#REF!,4,0)="√",1,0)</f>
        <v>#REF!</v>
      </c>
      <c r="J22" s="120" t="e">
        <f>IF(VLOOKUP(H22,#REF!,5,0)="√",1,0)</f>
        <v>#REF!</v>
      </c>
      <c r="K22" s="120"/>
      <c r="M22" s="232">
        <v>4</v>
      </c>
      <c r="N22" s="232" t="s">
        <v>255</v>
      </c>
      <c r="O22" s="232" t="s">
        <v>256</v>
      </c>
      <c r="P22" s="232" t="s">
        <v>257</v>
      </c>
      <c r="Q22" s="232" t="s">
        <v>258</v>
      </c>
      <c r="V22" s="233" t="e">
        <f>SUM(#REF!*#REF!)</f>
        <v>#REF!</v>
      </c>
      <c r="W22" s="233" t="e">
        <f>SUM(#REF!*#REF!)</f>
        <v>#REF!</v>
      </c>
      <c r="X22" s="233" t="e">
        <f>SUM(#REF!*#REF!)</f>
        <v>#REF!</v>
      </c>
      <c r="Y22" s="233" t="e">
        <f>SUM(#REF!*#REF!)</f>
        <v>#REF!</v>
      </c>
      <c r="AI22" s="235">
        <v>900</v>
      </c>
      <c r="AJ22" s="235">
        <v>3</v>
      </c>
      <c r="AL22" s="120" t="s">
        <v>259</v>
      </c>
      <c r="AO22" s="119" t="e">
        <f>IF(ISBLANK(#REF!),,INDEX(AR1:AT149,MATCH(#REF!&amp;"*",AQ1:AQ149,0),1))</f>
        <v>#REF!</v>
      </c>
      <c r="AP22" s="131" t="e">
        <f>IF(ISBLANK(#REF!),,INDEX(AQ1:AT149,MATCH(#REF!&amp;"*",AQ1:AQ149,0),1))</f>
        <v>#REF!</v>
      </c>
      <c r="AQ22" s="220" t="s">
        <v>260</v>
      </c>
      <c r="AR22" s="221" t="s">
        <v>261</v>
      </c>
      <c r="AS22" s="220" t="s">
        <v>209</v>
      </c>
      <c r="AT22" s="220">
        <v>5</v>
      </c>
      <c r="AU22" s="119" t="e">
        <f>VLOOKUP(AP22,AQ1:AT147,4,0)</f>
        <v>#REF!</v>
      </c>
      <c r="AW22" s="229" t="s">
        <v>262</v>
      </c>
    </row>
    <row r="23" spans="1:49" ht="16.5" customHeight="1" x14ac:dyDescent="0.25">
      <c r="A23" s="120">
        <v>22</v>
      </c>
      <c r="B23" s="120" t="e">
        <f>IF(#REF!="","",#REF!)</f>
        <v>#REF!</v>
      </c>
      <c r="C23" s="120" t="str">
        <f>IFERROR(VLOOKUP(B23,#REF!,5,FALSE),"")</f>
        <v/>
      </c>
      <c r="D23" s="223" t="str">
        <f>IFERROR(VLOOKUP(B23,#REF!,4,FALSE),"")</f>
        <v/>
      </c>
      <c r="E23" s="120">
        <v>22</v>
      </c>
      <c r="F23" s="224" t="e">
        <f t="shared" si="0"/>
        <v>#REF!</v>
      </c>
      <c r="G23" s="225"/>
      <c r="H23" s="230" t="e">
        <f>IF(#REF!&lt;&gt;"",#REF!,"")</f>
        <v>#REF!</v>
      </c>
      <c r="I23" s="120" t="e">
        <f>IF(VLOOKUP(H23,#REF!,4,0)="√",1,0)</f>
        <v>#REF!</v>
      </c>
      <c r="J23" s="120" t="e">
        <f>IF(VLOOKUP(H23,#REF!,5,0)="√",1,0)</f>
        <v>#REF!</v>
      </c>
      <c r="K23" s="120"/>
      <c r="M23" s="232">
        <v>5</v>
      </c>
      <c r="N23" s="232" t="s">
        <v>263</v>
      </c>
      <c r="O23" s="232" t="s">
        <v>251</v>
      </c>
      <c r="P23" s="232" t="s">
        <v>264</v>
      </c>
      <c r="Q23" s="232" t="s">
        <v>265</v>
      </c>
      <c r="V23" s="233" t="e">
        <f>SUM(#REF!*#REF!)</f>
        <v>#REF!</v>
      </c>
      <c r="W23" s="233" t="e">
        <f>SUM(#REF!*#REF!)</f>
        <v>#REF!</v>
      </c>
      <c r="X23" s="233" t="e">
        <f>SUM(#REF!*#REF!)</f>
        <v>#REF!</v>
      </c>
      <c r="Y23" s="233" t="e">
        <f>SUM(#REF!*#REF!)</f>
        <v>#REF!</v>
      </c>
      <c r="AI23" s="235">
        <f>AI22*AJ22</f>
        <v>2700</v>
      </c>
      <c r="AJ23" s="235">
        <v>4</v>
      </c>
      <c r="AL23" s="119" t="e">
        <f>IF(#REF!="O",1,0)</f>
        <v>#REF!</v>
      </c>
      <c r="AO23" s="120"/>
      <c r="AQ23" s="220" t="s">
        <v>266</v>
      </c>
      <c r="AR23" s="221" t="s">
        <v>267</v>
      </c>
      <c r="AS23" s="220" t="s">
        <v>268</v>
      </c>
      <c r="AT23" s="220">
        <v>5</v>
      </c>
      <c r="AW23" s="229" t="s">
        <v>269</v>
      </c>
    </row>
    <row r="24" spans="1:49" ht="16.5" customHeight="1" x14ac:dyDescent="0.25">
      <c r="A24" s="120">
        <v>23</v>
      </c>
      <c r="B24" s="120" t="e">
        <f>IF(#REF!="","",#REF!)</f>
        <v>#REF!</v>
      </c>
      <c r="C24" s="120" t="str">
        <f>IFERROR(VLOOKUP(B24,#REF!,5,FALSE),"")</f>
        <v/>
      </c>
      <c r="D24" s="223" t="str">
        <f>IFERROR(VLOOKUP(B24,#REF!,4,FALSE),"")</f>
        <v/>
      </c>
      <c r="E24" s="120">
        <v>23</v>
      </c>
      <c r="F24" s="224" t="e">
        <f t="shared" si="0"/>
        <v>#REF!</v>
      </c>
      <c r="G24" s="225"/>
      <c r="H24" s="122" t="e">
        <f>IF(#REF!&lt;&gt;"",#REF!,"")</f>
        <v>#REF!</v>
      </c>
      <c r="I24" s="120" t="e">
        <f>IF(VLOOKUP(H24,#REF!,4,0)="√",1,0)</f>
        <v>#REF!</v>
      </c>
      <c r="J24" s="120" t="e">
        <f>IF(VLOOKUP(H24,#REF!,5,0)="√",1,0)</f>
        <v>#REF!</v>
      </c>
      <c r="K24" s="120"/>
      <c r="M24" s="232">
        <v>6</v>
      </c>
      <c r="N24" s="232" t="s">
        <v>270</v>
      </c>
      <c r="O24" s="232" t="s">
        <v>258</v>
      </c>
      <c r="P24" s="232" t="s">
        <v>271</v>
      </c>
      <c r="Q24" s="232" t="s">
        <v>272</v>
      </c>
      <c r="V24" s="233" t="e">
        <f>SUM(#REF!*#REF!)</f>
        <v>#REF!</v>
      </c>
      <c r="W24" s="233" t="e">
        <f>SUM(#REF!*#REF!)</f>
        <v>#REF!</v>
      </c>
      <c r="X24" s="233" t="e">
        <f>SUM(#REF!*#REF!)</f>
        <v>#REF!</v>
      </c>
      <c r="Y24" s="233" t="e">
        <f>SUM(#REF!*#REF!)</f>
        <v>#REF!</v>
      </c>
      <c r="AI24" s="122">
        <v>6500</v>
      </c>
      <c r="AJ24" s="122">
        <v>5</v>
      </c>
      <c r="AL24" s="119" t="e">
        <f>IF(#REF!="O",1,0)</f>
        <v>#REF!</v>
      </c>
      <c r="AO24" s="120"/>
      <c r="AQ24" s="220" t="s">
        <v>273</v>
      </c>
      <c r="AR24" s="221" t="s">
        <v>154</v>
      </c>
      <c r="AS24" s="220" t="s">
        <v>155</v>
      </c>
      <c r="AT24" s="220">
        <v>2</v>
      </c>
      <c r="AW24" s="229" t="s">
        <v>274</v>
      </c>
    </row>
    <row r="25" spans="1:49" ht="16.5" customHeight="1" x14ac:dyDescent="0.25">
      <c r="A25" s="120">
        <v>24</v>
      </c>
      <c r="B25" s="120" t="e">
        <f>IF(#REF!="","",#REF!)</f>
        <v>#REF!</v>
      </c>
      <c r="C25" s="120" t="str">
        <f>IFERROR(VLOOKUP(B25,#REF!,5,FALSE),"")</f>
        <v/>
      </c>
      <c r="D25" s="223" t="str">
        <f>IFERROR(VLOOKUP(B25,#REF!,4,FALSE),"")</f>
        <v/>
      </c>
      <c r="E25" s="120">
        <v>24</v>
      </c>
      <c r="F25" s="224" t="e">
        <f t="shared" si="0"/>
        <v>#REF!</v>
      </c>
      <c r="G25" s="225"/>
      <c r="H25" s="122" t="e">
        <f>IF(#REF!&lt;&gt;"",#REF!,"")</f>
        <v>#REF!</v>
      </c>
      <c r="I25" s="120" t="e">
        <f>IF(VLOOKUP(H25,#REF!,4,0)="√",1,0)</f>
        <v>#REF!</v>
      </c>
      <c r="J25" s="120" t="e">
        <f>IF(VLOOKUP(H25,#REF!,5,0)="√",1,0)</f>
        <v>#REF!</v>
      </c>
      <c r="K25" s="120"/>
      <c r="M25" s="232">
        <v>7</v>
      </c>
      <c r="N25" s="232" t="s">
        <v>275</v>
      </c>
      <c r="O25" s="232" t="s">
        <v>265</v>
      </c>
      <c r="P25" s="232" t="s">
        <v>276</v>
      </c>
      <c r="Q25" s="232" t="s">
        <v>277</v>
      </c>
      <c r="V25" s="233" t="e">
        <f>SUM(#REF!*#REF!)</f>
        <v>#REF!</v>
      </c>
      <c r="W25" s="233" t="e">
        <f>SUM(#REF!*#REF!)</f>
        <v>#REF!</v>
      </c>
      <c r="X25" s="233" t="e">
        <f>SUM(#REF!*#REF!)</f>
        <v>#REF!</v>
      </c>
      <c r="Y25" s="233" t="e">
        <f>SUM(#REF!*#REF!)</f>
        <v>#REF!</v>
      </c>
      <c r="AI25" s="122">
        <v>14000</v>
      </c>
      <c r="AJ25" s="122">
        <v>6</v>
      </c>
      <c r="AL25" s="119" t="e">
        <f>IF(#REF!="O",1,0)</f>
        <v>#REF!</v>
      </c>
      <c r="AO25" s="120"/>
      <c r="AQ25" s="220" t="s">
        <v>278</v>
      </c>
      <c r="AR25" s="221" t="s">
        <v>279</v>
      </c>
      <c r="AS25" s="220" t="s">
        <v>280</v>
      </c>
      <c r="AT25" s="220">
        <v>2</v>
      </c>
      <c r="AW25" s="229" t="s">
        <v>281</v>
      </c>
    </row>
    <row r="26" spans="1:49" ht="16.5" customHeight="1" x14ac:dyDescent="0.25">
      <c r="A26" s="120">
        <v>25</v>
      </c>
      <c r="B26" s="120" t="e">
        <f>IF(#REF!="","",#REF!)</f>
        <v>#REF!</v>
      </c>
      <c r="C26" s="120" t="str">
        <f>IFERROR(VLOOKUP(B26,#REF!,5,FALSE),"")</f>
        <v/>
      </c>
      <c r="D26" s="223" t="str">
        <f>IFERROR(VLOOKUP(B26,#REF!,4,FALSE),"")</f>
        <v/>
      </c>
      <c r="E26" s="120">
        <v>25</v>
      </c>
      <c r="F26" s="224" t="e">
        <f t="shared" si="0"/>
        <v>#REF!</v>
      </c>
      <c r="G26" s="225"/>
      <c r="H26" s="122" t="e">
        <f>IF(#REF!&lt;&gt;"",#REF!,"")</f>
        <v>#REF!</v>
      </c>
      <c r="I26" s="120" t="e">
        <f>IF(VLOOKUP(H26,#REF!,4,0)="√",1,0)</f>
        <v>#REF!</v>
      </c>
      <c r="J26" s="120" t="e">
        <f>IF(VLOOKUP(H26,#REF!,5,0)="√",1,0)</f>
        <v>#REF!</v>
      </c>
      <c r="K26" s="120"/>
      <c r="M26" s="232">
        <v>8</v>
      </c>
      <c r="N26" s="232"/>
      <c r="O26" s="232"/>
      <c r="P26" s="232" t="s">
        <v>282</v>
      </c>
      <c r="Q26" s="232" t="s">
        <v>283</v>
      </c>
      <c r="V26" s="233" t="e">
        <f>SUM(#REF!*#REF!)</f>
        <v>#REF!</v>
      </c>
      <c r="W26" s="233" t="e">
        <f>SUM(#REF!*#REF!)</f>
        <v>#REF!</v>
      </c>
      <c r="X26" s="233" t="e">
        <f>SUM(#REF!*#REF!)</f>
        <v>#REF!</v>
      </c>
      <c r="Y26" s="233" t="e">
        <f>SUM(#REF!*#REF!)</f>
        <v>#REF!</v>
      </c>
      <c r="AI26" s="122">
        <v>23000</v>
      </c>
      <c r="AJ26" s="122">
        <v>7</v>
      </c>
      <c r="AL26" s="119" t="e">
        <f>IF(#REF!="O",1,0)</f>
        <v>#REF!</v>
      </c>
      <c r="AO26" s="120"/>
      <c r="AQ26" s="220" t="s">
        <v>284</v>
      </c>
      <c r="AR26" s="221" t="s">
        <v>285</v>
      </c>
      <c r="AS26" s="220" t="s">
        <v>170</v>
      </c>
      <c r="AT26" s="220">
        <v>2</v>
      </c>
      <c r="AW26" s="229" t="s">
        <v>286</v>
      </c>
    </row>
    <row r="27" spans="1:49" ht="16.5" customHeight="1" x14ac:dyDescent="0.25">
      <c r="A27" s="120">
        <v>26</v>
      </c>
      <c r="B27" s="120" t="e">
        <f>IF(#REF!="","",#REF!)</f>
        <v>#REF!</v>
      </c>
      <c r="C27" s="120" t="str">
        <f>IFERROR(VLOOKUP(B27,#REF!,5,FALSE),"")</f>
        <v/>
      </c>
      <c r="D27" s="223" t="str">
        <f>IFERROR(VLOOKUP(B27,#REF!,4,FALSE),"")</f>
        <v/>
      </c>
      <c r="E27" s="120">
        <v>26</v>
      </c>
      <c r="F27" s="224" t="e">
        <f t="shared" si="0"/>
        <v>#REF!</v>
      </c>
      <c r="G27" s="225"/>
      <c r="H27" s="122" t="e">
        <f>IF(#REF!&lt;&gt;"",#REF!,"")</f>
        <v>#REF!</v>
      </c>
      <c r="I27" s="120" t="e">
        <f>IF(VLOOKUP(H27,#REF!,4,0)="√",1,0)</f>
        <v>#REF!</v>
      </c>
      <c r="J27" s="120" t="e">
        <f>IF(VLOOKUP(H27,#REF!,5,0)="√",1,0)</f>
        <v>#REF!</v>
      </c>
      <c r="K27" s="120"/>
      <c r="M27" s="232">
        <v>9</v>
      </c>
      <c r="N27" s="232"/>
      <c r="O27" s="232"/>
      <c r="P27" s="232" t="s">
        <v>287</v>
      </c>
      <c r="Q27" s="232" t="s">
        <v>288</v>
      </c>
      <c r="V27" s="233" t="e">
        <f>SUM(#REF!*#REF!)</f>
        <v>#REF!</v>
      </c>
      <c r="W27" s="233" t="e">
        <f>SUM(#REF!*#REF!)</f>
        <v>#REF!</v>
      </c>
      <c r="X27" s="233" t="e">
        <f>SUM(#REF!*#REF!)</f>
        <v>#REF!</v>
      </c>
      <c r="Y27" s="233" t="e">
        <f>SUM(#REF!*#REF!)</f>
        <v>#REF!</v>
      </c>
      <c r="AI27" s="122">
        <v>34000</v>
      </c>
      <c r="AJ27" s="122">
        <v>8</v>
      </c>
      <c r="AL27" s="119" t="e">
        <f>IF(#REF!="O",1,0)</f>
        <v>#REF!</v>
      </c>
      <c r="AO27" s="120"/>
      <c r="AQ27" s="220" t="s">
        <v>289</v>
      </c>
      <c r="AR27" s="221" t="s">
        <v>290</v>
      </c>
      <c r="AS27" s="220" t="s">
        <v>291</v>
      </c>
      <c r="AT27" s="220">
        <v>0</v>
      </c>
      <c r="AW27" s="229" t="s">
        <v>292</v>
      </c>
    </row>
    <row r="28" spans="1:49" ht="16.5" customHeight="1" x14ac:dyDescent="0.25">
      <c r="A28" s="120">
        <v>27</v>
      </c>
      <c r="B28" s="120" t="e">
        <f>IF(#REF!="","",#REF!)</f>
        <v>#REF!</v>
      </c>
      <c r="C28" s="120" t="str">
        <f>IFERROR(VLOOKUP(B28,#REF!,5,FALSE),"")</f>
        <v/>
      </c>
      <c r="D28" s="223" t="str">
        <f>IFERROR(VLOOKUP(B28,#REF!,4,FALSE),"")</f>
        <v/>
      </c>
      <c r="E28" s="120">
        <v>27</v>
      </c>
      <c r="F28" s="224" t="e">
        <f t="shared" si="0"/>
        <v>#REF!</v>
      </c>
      <c r="G28" s="225"/>
      <c r="H28" s="122" t="e">
        <f>IF(#REF!&lt;&gt;"",#REF!,"")</f>
        <v>#REF!</v>
      </c>
      <c r="I28" s="120" t="e">
        <f>IF(VLOOKUP(H28,#REF!,4,0)="√",1,0)</f>
        <v>#REF!</v>
      </c>
      <c r="J28" s="120" t="e">
        <f>IF(VLOOKUP(H28,#REF!,5,0)="√",1,0)</f>
        <v>#REF!</v>
      </c>
      <c r="K28" s="120"/>
      <c r="M28" s="232"/>
      <c r="N28" s="232"/>
      <c r="O28" s="232"/>
      <c r="P28" s="232" t="s">
        <v>293</v>
      </c>
      <c r="Q28" s="232" t="s">
        <v>294</v>
      </c>
      <c r="V28" s="233" t="e">
        <f>SUM(#REF!*#REF!)</f>
        <v>#REF!</v>
      </c>
      <c r="W28" s="233" t="e">
        <f>SUM(#REF!*#REF!)</f>
        <v>#REF!</v>
      </c>
      <c r="X28" s="233" t="e">
        <f>SUM(#REF!*#REF!)</f>
        <v>#REF!</v>
      </c>
      <c r="Y28" s="233" t="e">
        <f>SUM(#REF!*#REF!)</f>
        <v>#REF!</v>
      </c>
      <c r="AI28" s="122">
        <v>48000</v>
      </c>
      <c r="AJ28" s="122">
        <v>9</v>
      </c>
      <c r="AL28" s="119" t="e">
        <f>IF(#REF!="O",1,0)</f>
        <v>#REF!</v>
      </c>
      <c r="AO28" s="120"/>
      <c r="AQ28" s="220" t="s">
        <v>295</v>
      </c>
      <c r="AR28" s="221" t="s">
        <v>296</v>
      </c>
      <c r="AS28" s="220" t="s">
        <v>170</v>
      </c>
      <c r="AT28" s="220">
        <v>1</v>
      </c>
      <c r="AW28" s="229" t="s">
        <v>297</v>
      </c>
    </row>
    <row r="29" spans="1:49" ht="16.5" customHeight="1" x14ac:dyDescent="0.25">
      <c r="A29" s="120">
        <v>28</v>
      </c>
      <c r="B29" s="120" t="e">
        <f>IF(#REF!="","",#REF!)</f>
        <v>#REF!</v>
      </c>
      <c r="C29" s="120" t="str">
        <f>IFERROR(VLOOKUP(B29,#REF!,5,FALSE),"")</f>
        <v/>
      </c>
      <c r="D29" s="223" t="str">
        <f>IFERROR(VLOOKUP(B29,#REF!,4,FALSE),"")</f>
        <v/>
      </c>
      <c r="E29" s="120">
        <v>28</v>
      </c>
      <c r="F29" s="224" t="e">
        <f t="shared" si="0"/>
        <v>#REF!</v>
      </c>
      <c r="G29" s="225"/>
      <c r="H29" s="122" t="e">
        <f>IF(#REF!&lt;&gt;"",#REF!,"")</f>
        <v>#REF!</v>
      </c>
      <c r="I29" s="120" t="e">
        <f>IF(VLOOKUP(H29,#REF!,4,0)="√",1,0)</f>
        <v>#REF!</v>
      </c>
      <c r="J29" s="120" t="e">
        <f>IF(VLOOKUP(H29,#REF!,5,0)="√",1,0)</f>
        <v>#REF!</v>
      </c>
      <c r="K29" s="120"/>
      <c r="M29" s="232"/>
      <c r="N29" s="232"/>
      <c r="O29" s="232"/>
      <c r="P29" s="232" t="s">
        <v>298</v>
      </c>
      <c r="Q29" s="232" t="s">
        <v>299</v>
      </c>
      <c r="V29" s="233"/>
      <c r="W29" s="233"/>
      <c r="X29" s="233"/>
      <c r="Y29" s="233"/>
      <c r="AI29" s="122">
        <v>64000</v>
      </c>
      <c r="AJ29" s="122">
        <v>10</v>
      </c>
      <c r="AL29" s="119" t="e">
        <f>IF(#REF!="O",1,0)</f>
        <v>#REF!</v>
      </c>
      <c r="AO29" s="120"/>
      <c r="AQ29" s="220" t="s">
        <v>300</v>
      </c>
      <c r="AR29" s="221" t="s">
        <v>301</v>
      </c>
      <c r="AS29" s="220" t="s">
        <v>170</v>
      </c>
      <c r="AT29" s="220">
        <v>1</v>
      </c>
      <c r="AW29" s="229" t="s">
        <v>302</v>
      </c>
    </row>
    <row r="30" spans="1:49" ht="16.5" customHeight="1" x14ac:dyDescent="0.25">
      <c r="A30" s="120">
        <v>29</v>
      </c>
      <c r="B30" s="120" t="e">
        <f>IF(#REF!="","",#REF!)</f>
        <v>#REF!</v>
      </c>
      <c r="C30" s="120" t="str">
        <f>IFERROR(VLOOKUP(B30,#REF!,5,FALSE),"")</f>
        <v/>
      </c>
      <c r="D30" s="223" t="str">
        <f>IFERROR(VLOOKUP(B30,#REF!,4,FALSE),"")</f>
        <v/>
      </c>
      <c r="E30" s="120">
        <v>29</v>
      </c>
      <c r="F30" s="224" t="e">
        <f t="shared" si="0"/>
        <v>#REF!</v>
      </c>
      <c r="G30" s="225"/>
      <c r="H30" s="122" t="e">
        <f>IF(#REF!&lt;&gt;"",#REF!,"")</f>
        <v>#REF!</v>
      </c>
      <c r="I30" s="120" t="e">
        <f>IF(VLOOKUP(H30,#REF!,4,0)="√",1,0)</f>
        <v>#REF!</v>
      </c>
      <c r="J30" s="120" t="e">
        <f>IF(VLOOKUP(H30,#REF!,5,0)="√",1,0)</f>
        <v>#REF!</v>
      </c>
      <c r="K30" s="120"/>
      <c r="M30" s="232"/>
      <c r="N30" s="232"/>
      <c r="O30" s="232"/>
      <c r="P30" s="232" t="s">
        <v>303</v>
      </c>
      <c r="Q30" s="232" t="s">
        <v>304</v>
      </c>
      <c r="V30" s="233" t="e">
        <f>SUM(#REF!*#REF!)</f>
        <v>#REF!</v>
      </c>
      <c r="W30" s="233" t="e">
        <f>SUM(#REF!*#REF!)</f>
        <v>#REF!</v>
      </c>
      <c r="X30" s="233" t="e">
        <f>SUM(#REF!*#REF!)</f>
        <v>#REF!</v>
      </c>
      <c r="Y30" s="233" t="e">
        <f>SUM(#REF!*#REF!)</f>
        <v>#REF!</v>
      </c>
      <c r="AI30" s="236">
        <v>85000</v>
      </c>
      <c r="AJ30" s="236">
        <v>11</v>
      </c>
      <c r="AL30" s="119" t="e">
        <f>IF(#REF!="O",1,0)</f>
        <v>#REF!</v>
      </c>
      <c r="AO30" s="120"/>
      <c r="AQ30" s="220" t="s">
        <v>305</v>
      </c>
      <c r="AR30" s="221" t="s">
        <v>306</v>
      </c>
      <c r="AS30" s="220" t="s">
        <v>209</v>
      </c>
      <c r="AT30" s="220">
        <v>10</v>
      </c>
      <c r="AW30" s="237" t="s">
        <v>307</v>
      </c>
    </row>
    <row r="31" spans="1:49" ht="16.5" customHeight="1" x14ac:dyDescent="0.25">
      <c r="A31" s="120">
        <v>30</v>
      </c>
      <c r="B31" s="120" t="e">
        <f>IF(#REF!="","",#REF!)</f>
        <v>#REF!</v>
      </c>
      <c r="C31" s="120" t="str">
        <f>IFERROR(VLOOKUP(B31,#REF!,5,FALSE),"")</f>
        <v/>
      </c>
      <c r="D31" s="223" t="str">
        <f>IFERROR(VLOOKUP(B31,#REF!,4,FALSE),"")</f>
        <v/>
      </c>
      <c r="E31" s="120">
        <v>30</v>
      </c>
      <c r="F31" s="224" t="e">
        <f t="shared" si="0"/>
        <v>#REF!</v>
      </c>
      <c r="G31" s="225"/>
      <c r="H31" s="122" t="e">
        <f>IF(#REF!&lt;&gt;"",#REF!,"")</f>
        <v>#REF!</v>
      </c>
      <c r="I31" s="120" t="e">
        <f>IF(VLOOKUP(H31,#REF!,4,0)="√",1,0)</f>
        <v>#REF!</v>
      </c>
      <c r="J31" s="120" t="e">
        <f>IF(VLOOKUP(H31,#REF!,5,0)="√",1,0)</f>
        <v>#REF!</v>
      </c>
      <c r="K31" s="120"/>
      <c r="M31" s="232"/>
      <c r="N31" s="232"/>
      <c r="O31" s="232"/>
      <c r="P31" s="232" t="s">
        <v>308</v>
      </c>
      <c r="Q31" s="232" t="s">
        <v>309</v>
      </c>
      <c r="V31" s="233" t="e">
        <f>SUM(#REF!*#REF!)</f>
        <v>#REF!</v>
      </c>
      <c r="W31" s="233" t="e">
        <f>SUM(#REF!*#REF!)</f>
        <v>#REF!</v>
      </c>
      <c r="X31" s="233" t="e">
        <f>SUM(#REF!*#REF!)</f>
        <v>#REF!</v>
      </c>
      <c r="Y31" s="233" t="e">
        <f>SUM(#REF!*#REF!)</f>
        <v>#REF!</v>
      </c>
      <c r="AI31" s="236">
        <v>100000</v>
      </c>
      <c r="AJ31" s="236">
        <v>12</v>
      </c>
      <c r="AL31" s="119" t="e">
        <f>IF(#REF!="O",1,0)</f>
        <v>#REF!</v>
      </c>
      <c r="AO31" s="120"/>
      <c r="AQ31" s="220" t="s">
        <v>310</v>
      </c>
      <c r="AR31" s="221" t="s">
        <v>154</v>
      </c>
      <c r="AS31" s="220" t="s">
        <v>291</v>
      </c>
      <c r="AT31" s="220">
        <v>0</v>
      </c>
      <c r="AW31" s="238" t="s">
        <v>311</v>
      </c>
    </row>
    <row r="32" spans="1:49" ht="16.5" customHeight="1" x14ac:dyDescent="0.25">
      <c r="A32" s="120">
        <v>31</v>
      </c>
      <c r="B32" s="120" t="e">
        <f>IF(#REF!="","",#REF!)</f>
        <v>#REF!</v>
      </c>
      <c r="C32" s="120" t="str">
        <f>IFERROR(VLOOKUP(B32,#REF!,5,FALSE),"")</f>
        <v/>
      </c>
      <c r="D32" s="223" t="str">
        <f>IFERROR(VLOOKUP(B32,#REF!,4,FALSE),"")</f>
        <v/>
      </c>
      <c r="E32" s="120">
        <v>31</v>
      </c>
      <c r="F32" s="224" t="e">
        <f t="shared" si="0"/>
        <v>#REF!</v>
      </c>
      <c r="G32" s="225"/>
      <c r="H32" s="122" t="e">
        <f>IF(#REF!&lt;&gt;"",#REF!,"")</f>
        <v>#REF!</v>
      </c>
      <c r="I32" s="120" t="e">
        <f>IF(VLOOKUP(H32,#REF!,4,0)="√",1,0)</f>
        <v>#REF!</v>
      </c>
      <c r="J32" s="120" t="e">
        <f>IF(VLOOKUP(H32,#REF!,5,0)="√",1,0)</f>
        <v>#REF!</v>
      </c>
      <c r="K32" s="120"/>
      <c r="M32" s="232"/>
      <c r="N32" s="232"/>
      <c r="O32" s="232"/>
      <c r="P32" s="232" t="s">
        <v>312</v>
      </c>
      <c r="Q32" s="232" t="s">
        <v>313</v>
      </c>
      <c r="V32" s="233" t="e">
        <f>SUM(#REF!*#REF!)</f>
        <v>#REF!</v>
      </c>
      <c r="W32" s="233" t="e">
        <f>SUM(#REF!*#REF!)</f>
        <v>#REF!</v>
      </c>
      <c r="X32" s="233" t="e">
        <f>SUM(#REF!*#REF!)</f>
        <v>#REF!</v>
      </c>
      <c r="Y32" s="233" t="e">
        <f>SUM(#REF!*#REF!)</f>
        <v>#REF!</v>
      </c>
      <c r="AI32" s="236">
        <v>120000</v>
      </c>
      <c r="AJ32" s="236">
        <v>13</v>
      </c>
      <c r="AL32" s="119" t="e">
        <f>IF(#REF!="O",1,0)</f>
        <v>#REF!</v>
      </c>
      <c r="AQ32" s="220" t="s">
        <v>314</v>
      </c>
      <c r="AR32" s="221" t="s">
        <v>315</v>
      </c>
      <c r="AS32" s="220" t="s">
        <v>209</v>
      </c>
      <c r="AT32" s="220">
        <v>25</v>
      </c>
    </row>
    <row r="33" spans="1:46" ht="16.5" customHeight="1" x14ac:dyDescent="0.25">
      <c r="A33" s="120">
        <v>32</v>
      </c>
      <c r="B33" s="120" t="e">
        <f>IF(#REF!="","",#REF!)</f>
        <v>#REF!</v>
      </c>
      <c r="C33" s="120" t="str">
        <f>IFERROR(VLOOKUP(B33,#REF!,5,FALSE),"")</f>
        <v/>
      </c>
      <c r="D33" s="223" t="str">
        <f>IFERROR(VLOOKUP(B33,#REF!,4,FALSE),"")</f>
        <v/>
      </c>
      <c r="E33" s="120">
        <v>32</v>
      </c>
      <c r="F33" s="224" t="e">
        <f t="shared" si="0"/>
        <v>#REF!</v>
      </c>
      <c r="G33" s="225"/>
      <c r="H33" s="122" t="e">
        <f>IF(#REF!&lt;&gt;"",#REF!,"")</f>
        <v>#REF!</v>
      </c>
      <c r="I33" s="120" t="e">
        <f>IF(VLOOKUP(H33,#REF!,4,0)="√",1,0)</f>
        <v>#REF!</v>
      </c>
      <c r="J33" s="120" t="e">
        <f>IF(VLOOKUP(H33,#REF!,5,0)="√",1,0)</f>
        <v>#REF!</v>
      </c>
      <c r="K33" s="120"/>
      <c r="M33" s="232"/>
      <c r="N33" s="232"/>
      <c r="O33" s="232"/>
      <c r="P33" s="232" t="s">
        <v>316</v>
      </c>
      <c r="Q33" s="232" t="s">
        <v>317</v>
      </c>
      <c r="V33" s="233" t="e">
        <f>SUM(#REF!*#REF!)</f>
        <v>#REF!</v>
      </c>
      <c r="W33" s="233" t="e">
        <f>SUM(#REF!*#REF!)</f>
        <v>#REF!</v>
      </c>
      <c r="X33" s="233" t="e">
        <f>SUM(#REF!*#REF!)</f>
        <v>#REF!</v>
      </c>
      <c r="Y33" s="233" t="e">
        <f>SUM(#REF!*#REF!)</f>
        <v>#REF!</v>
      </c>
      <c r="AI33" s="236">
        <v>140000</v>
      </c>
      <c r="AJ33" s="236">
        <v>14</v>
      </c>
      <c r="AL33" s="119" t="e">
        <f>IF(#REF!="O",1,0)</f>
        <v>#REF!</v>
      </c>
      <c r="AQ33" s="220" t="s">
        <v>318</v>
      </c>
      <c r="AR33" s="221" t="s">
        <v>319</v>
      </c>
      <c r="AS33" s="220" t="s">
        <v>161</v>
      </c>
      <c r="AT33" s="220">
        <v>12</v>
      </c>
    </row>
    <row r="34" spans="1:46" ht="16.5" customHeight="1" x14ac:dyDescent="0.25">
      <c r="A34" s="120">
        <v>33</v>
      </c>
      <c r="B34" s="120" t="e">
        <f>IF(#REF!="","",#REF!)</f>
        <v>#REF!</v>
      </c>
      <c r="C34" s="120" t="str">
        <f>IFERROR(VLOOKUP(B34,#REF!,5,FALSE),"")</f>
        <v/>
      </c>
      <c r="D34" s="223" t="str">
        <f>IFERROR(VLOOKUP(B34,#REF!,4,FALSE),"")</f>
        <v/>
      </c>
      <c r="E34" s="120">
        <v>33</v>
      </c>
      <c r="F34" s="224" t="e">
        <f t="shared" si="0"/>
        <v>#REF!</v>
      </c>
      <c r="G34" s="225"/>
      <c r="H34" s="122" t="e">
        <f>IF(#REF!&lt;&gt;"",#REF!,"")</f>
        <v>#REF!</v>
      </c>
      <c r="I34" s="120" t="e">
        <f>IF(VLOOKUP(H34,#REF!,4,0)="√",1,0)</f>
        <v>#REF!</v>
      </c>
      <c r="J34" s="120" t="e">
        <f>IF(VLOOKUP(H34,#REF!,5,0)="√",1,0)</f>
        <v>#REF!</v>
      </c>
      <c r="K34" s="120"/>
      <c r="M34" s="232"/>
      <c r="N34" s="232"/>
      <c r="O34" s="232"/>
      <c r="P34" s="232" t="s">
        <v>313</v>
      </c>
      <c r="Q34" s="232" t="s">
        <v>320</v>
      </c>
      <c r="V34" s="233" t="e">
        <f>SUM(#REF!*#REF!)</f>
        <v>#REF!</v>
      </c>
      <c r="W34" s="233" t="e">
        <f>SUM(#REF!*#REF!)</f>
        <v>#REF!</v>
      </c>
      <c r="X34" s="233" t="e">
        <f>SUM(#REF!*#REF!)</f>
        <v>#REF!</v>
      </c>
      <c r="Y34" s="233" t="e">
        <f>SUM(#REF!*#REF!)</f>
        <v>#REF!</v>
      </c>
      <c r="AI34" s="236">
        <v>165000</v>
      </c>
      <c r="AJ34" s="236">
        <v>15</v>
      </c>
      <c r="AL34" s="119" t="e">
        <f>IF(#REF!="O",1,0)</f>
        <v>#REF!</v>
      </c>
      <c r="AQ34" s="220" t="s">
        <v>321</v>
      </c>
      <c r="AR34" s="221" t="s">
        <v>154</v>
      </c>
      <c r="AS34" s="220" t="s">
        <v>253</v>
      </c>
      <c r="AT34" s="220">
        <v>3</v>
      </c>
    </row>
    <row r="35" spans="1:46" ht="16.5" customHeight="1" x14ac:dyDescent="0.25">
      <c r="A35" s="120">
        <v>34</v>
      </c>
      <c r="B35" s="120" t="e">
        <f>IF(#REF!="","",#REF!)</f>
        <v>#REF!</v>
      </c>
      <c r="C35" s="120" t="str">
        <f>IFERROR(VLOOKUP(B35,#REF!,5,FALSE),"")</f>
        <v/>
      </c>
      <c r="D35" s="223" t="str">
        <f>IFERROR(VLOOKUP(B35,#REF!,4,FALSE),"")</f>
        <v/>
      </c>
      <c r="E35" s="120">
        <v>34</v>
      </c>
      <c r="F35" s="224" t="e">
        <f t="shared" si="0"/>
        <v>#REF!</v>
      </c>
      <c r="G35" s="225"/>
      <c r="H35" s="122" t="e">
        <f>IF(#REF!&lt;&gt;"",#REF!,"")</f>
        <v>#REF!</v>
      </c>
      <c r="I35" s="120" t="e">
        <f>IF(VLOOKUP(H35,#REF!,4,0)="√",1,0)</f>
        <v>#REF!</v>
      </c>
      <c r="J35" s="120" t="e">
        <f>IF(VLOOKUP(H35,#REF!,5,0)="√",1,0)</f>
        <v>#REF!</v>
      </c>
      <c r="K35" s="120"/>
      <c r="M35" s="232"/>
      <c r="N35" s="232"/>
      <c r="O35" s="232"/>
      <c r="P35" s="232"/>
      <c r="Q35" s="232" t="s">
        <v>322</v>
      </c>
      <c r="V35" s="233" t="e">
        <f>SUM(#REF!*#REF!)</f>
        <v>#REF!</v>
      </c>
      <c r="W35" s="233" t="e">
        <f>SUM(#REF!*#REF!)</f>
        <v>#REF!</v>
      </c>
      <c r="X35" s="233" t="e">
        <f>SUM(#REF!*#REF!)</f>
        <v>#REF!</v>
      </c>
      <c r="Y35" s="233" t="e">
        <f>SUM(#REF!*#REF!)</f>
        <v>#REF!</v>
      </c>
      <c r="AI35" s="236">
        <v>195000</v>
      </c>
      <c r="AJ35" s="236">
        <v>16</v>
      </c>
      <c r="AL35" s="119" t="e">
        <f>IF(#REF!="O",1,0)</f>
        <v>#REF!</v>
      </c>
      <c r="AQ35" s="220" t="s">
        <v>323</v>
      </c>
      <c r="AR35" s="221" t="s">
        <v>154</v>
      </c>
      <c r="AS35" s="220" t="s">
        <v>209</v>
      </c>
      <c r="AT35" s="220">
        <v>4</v>
      </c>
    </row>
    <row r="36" spans="1:46" ht="16.5" customHeight="1" x14ac:dyDescent="0.25">
      <c r="A36" s="120">
        <v>35</v>
      </c>
      <c r="B36" s="120" t="e">
        <f>IF(#REF!="","",#REF!)</f>
        <v>#REF!</v>
      </c>
      <c r="C36" s="120" t="str">
        <f>IFERROR(VLOOKUP(B36,#REF!,5,FALSE),"")</f>
        <v/>
      </c>
      <c r="D36" s="223" t="str">
        <f>IFERROR(VLOOKUP(B36,#REF!,4,FALSE),"")</f>
        <v/>
      </c>
      <c r="E36" s="120">
        <v>35</v>
      </c>
      <c r="F36" s="224" t="e">
        <f t="shared" si="0"/>
        <v>#REF!</v>
      </c>
      <c r="G36" s="225"/>
      <c r="H36" s="122" t="e">
        <f>IF(#REF!&lt;&gt;"",#REF!,"")</f>
        <v>#REF!</v>
      </c>
      <c r="I36" s="120" t="e">
        <f>IF(VLOOKUP(H36,#REF!,4,0)="√",1,0)</f>
        <v>#REF!</v>
      </c>
      <c r="J36" s="120" t="e">
        <f>IF(VLOOKUP(H36,#REF!,5,0)="√",1,0)</f>
        <v>#REF!</v>
      </c>
      <c r="K36" s="120"/>
      <c r="V36" s="233" t="e">
        <f>SUM(#REF!*#REF!)</f>
        <v>#REF!</v>
      </c>
      <c r="W36" s="233" t="e">
        <f>SUM(#REF!*#REF!)</f>
        <v>#REF!</v>
      </c>
      <c r="X36" s="233" t="e">
        <f>SUM(#REF!*#REF!)</f>
        <v>#REF!</v>
      </c>
      <c r="Y36" s="233" t="e">
        <f>SUM(#REF!*#REF!)</f>
        <v>#REF!</v>
      </c>
      <c r="AI36" s="122">
        <v>225000</v>
      </c>
      <c r="AJ36" s="122">
        <v>17</v>
      </c>
      <c r="AL36" s="119" t="e">
        <f>IF(#REF!="O",1,0)</f>
        <v>#REF!</v>
      </c>
      <c r="AQ36" s="220" t="s">
        <v>324</v>
      </c>
      <c r="AR36" s="221" t="s">
        <v>154</v>
      </c>
      <c r="AS36" s="220" t="s">
        <v>325</v>
      </c>
      <c r="AT36" s="220">
        <v>6</v>
      </c>
    </row>
    <row r="37" spans="1:46" ht="16.5" customHeight="1" x14ac:dyDescent="0.25">
      <c r="A37" s="120">
        <v>36</v>
      </c>
      <c r="B37" s="120" t="e">
        <f>IF(#REF!="","",#REF!)</f>
        <v>#REF!</v>
      </c>
      <c r="C37" s="120" t="str">
        <f>IFERROR(VLOOKUP(B37,#REF!,5,FALSE),"")</f>
        <v/>
      </c>
      <c r="D37" s="223" t="str">
        <f>IFERROR(VLOOKUP(B37,#REF!,4,FALSE),"")</f>
        <v/>
      </c>
      <c r="E37" s="120">
        <v>36</v>
      </c>
      <c r="F37" s="224" t="e">
        <f t="shared" si="0"/>
        <v>#REF!</v>
      </c>
      <c r="G37" s="225"/>
      <c r="H37" s="122" t="e">
        <f>IF(#REF!&lt;&gt;"",#REF!,"")</f>
        <v>#REF!</v>
      </c>
      <c r="I37" s="120" t="e">
        <f>IF(VLOOKUP(H37,#REF!,4,0)="√",1,0)</f>
        <v>#REF!</v>
      </c>
      <c r="J37" s="120" t="e">
        <f>IF(VLOOKUP(H37,#REF!,5,0)="√",1,0)</f>
        <v>#REF!</v>
      </c>
      <c r="K37" s="120"/>
      <c r="V37" s="233" t="e">
        <f>SUM(#REF!*#REF!)</f>
        <v>#REF!</v>
      </c>
      <c r="W37" s="233" t="e">
        <f>SUM(#REF!*#REF!)</f>
        <v>#REF!</v>
      </c>
      <c r="X37" s="233" t="e">
        <f>SUM(#REF!*#REF!)</f>
        <v>#REF!</v>
      </c>
      <c r="Y37" s="233" t="e">
        <f>SUM(#REF!*#REF!)</f>
        <v>#REF!</v>
      </c>
      <c r="AI37" s="122">
        <v>265000</v>
      </c>
      <c r="AJ37" s="122">
        <v>18</v>
      </c>
      <c r="AL37" s="119" t="e">
        <f>IF(#REF!="O",1,0)</f>
        <v>#REF!</v>
      </c>
      <c r="AQ37" s="220" t="s">
        <v>326</v>
      </c>
      <c r="AR37" s="221" t="s">
        <v>154</v>
      </c>
      <c r="AS37" s="220" t="s">
        <v>155</v>
      </c>
      <c r="AT37" s="220">
        <v>4</v>
      </c>
    </row>
    <row r="38" spans="1:46" ht="16.5" customHeight="1" x14ac:dyDescent="0.25">
      <c r="A38" s="120">
        <v>37</v>
      </c>
      <c r="B38" s="120" t="e">
        <f>IF(#REF!="","",#REF!)</f>
        <v>#REF!</v>
      </c>
      <c r="C38" s="120" t="str">
        <f>IFERROR(VLOOKUP(B38,#REF!,5,FALSE),"")</f>
        <v/>
      </c>
      <c r="D38" s="223" t="str">
        <f>IFERROR(VLOOKUP(B38,#REF!,4,FALSE),"")</f>
        <v/>
      </c>
      <c r="E38" s="120">
        <v>37</v>
      </c>
      <c r="F38" s="224" t="e">
        <f t="shared" si="0"/>
        <v>#REF!</v>
      </c>
      <c r="G38" s="225"/>
      <c r="H38" s="122" t="e">
        <f>IF(#REF!&lt;&gt;"",#REF!,"")</f>
        <v>#REF!</v>
      </c>
      <c r="I38" s="120" t="e">
        <f>IF(VLOOKUP(H38,#REF!,4,0)="√",1,0)</f>
        <v>#REF!</v>
      </c>
      <c r="J38" s="120" t="e">
        <f>IF(VLOOKUP(H38,#REF!,5,0)="√",1,0)</f>
        <v>#REF!</v>
      </c>
      <c r="K38" s="120"/>
      <c r="V38" s="233" t="e">
        <f>SUM(#REF!*#REF!)</f>
        <v>#REF!</v>
      </c>
      <c r="W38" s="233" t="e">
        <f>SUM(#REF!*#REF!)</f>
        <v>#REF!</v>
      </c>
      <c r="X38" s="233" t="e">
        <f>SUM(#REF!*#REF!)</f>
        <v>#REF!</v>
      </c>
      <c r="Y38" s="233" t="e">
        <f>SUM(#REF!*#REF!)</f>
        <v>#REF!</v>
      </c>
      <c r="AI38" s="122">
        <v>305000</v>
      </c>
      <c r="AJ38" s="122">
        <v>19</v>
      </c>
      <c r="AL38" s="119" t="e">
        <f>IF(#REF!="O",1,0)</f>
        <v>#REF!</v>
      </c>
      <c r="AQ38" s="220" t="s">
        <v>327</v>
      </c>
      <c r="AR38" s="221" t="s">
        <v>328</v>
      </c>
      <c r="AS38" s="220" t="s">
        <v>161</v>
      </c>
      <c r="AT38" s="220">
        <v>2</v>
      </c>
    </row>
    <row r="39" spans="1:46" ht="16.5" customHeight="1" x14ac:dyDescent="0.25">
      <c r="A39" s="120">
        <v>38</v>
      </c>
      <c r="B39" s="120" t="e">
        <f>IF(#REF!="","",#REF!)</f>
        <v>#REF!</v>
      </c>
      <c r="C39" s="120" t="str">
        <f>IFERROR(VLOOKUP(B39,#REF!,5,FALSE),"")</f>
        <v/>
      </c>
      <c r="D39" s="223" t="str">
        <f>IFERROR(VLOOKUP(B39,#REF!,4,FALSE),"")</f>
        <v/>
      </c>
      <c r="E39" s="120">
        <v>38</v>
      </c>
      <c r="F39" s="224" t="e">
        <f t="shared" si="0"/>
        <v>#REF!</v>
      </c>
      <c r="G39" s="225"/>
      <c r="H39" s="122" t="e">
        <f>IF(#REF!&lt;&gt;"",#REF!,"")</f>
        <v>#REF!</v>
      </c>
      <c r="I39" s="120" t="e">
        <f>IF(VLOOKUP(H39,#REF!,4,0)="√",1,0)</f>
        <v>#REF!</v>
      </c>
      <c r="J39" s="120" t="e">
        <f>IF(VLOOKUP(H39,#REF!,5,0)="√",1,0)</f>
        <v>#REF!</v>
      </c>
      <c r="K39" s="120"/>
      <c r="V39" s="233" t="e">
        <f>SUM(#REF!*#REF!)</f>
        <v>#REF!</v>
      </c>
      <c r="W39" s="233" t="e">
        <f>SUM(#REF!*#REF!)</f>
        <v>#REF!</v>
      </c>
      <c r="X39" s="233" t="e">
        <f>SUM(#REF!*#REF!)</f>
        <v>#REF!</v>
      </c>
      <c r="Y39" s="233" t="e">
        <f>SUM(#REF!*#REF!)</f>
        <v>#REF!</v>
      </c>
      <c r="AI39" s="122">
        <v>355000</v>
      </c>
      <c r="AJ39" s="122">
        <v>20</v>
      </c>
      <c r="AQ39" s="220" t="s">
        <v>329</v>
      </c>
      <c r="AR39" s="221" t="s">
        <v>330</v>
      </c>
      <c r="AS39" s="220" t="s">
        <v>155</v>
      </c>
      <c r="AT39" s="220">
        <v>5</v>
      </c>
    </row>
    <row r="40" spans="1:46" ht="16.5" customHeight="1" x14ac:dyDescent="0.25">
      <c r="A40" s="120">
        <v>39</v>
      </c>
      <c r="B40" s="120" t="e">
        <f>IF(#REF!="","",#REF!)</f>
        <v>#REF!</v>
      </c>
      <c r="C40" s="120" t="str">
        <f>IFERROR(VLOOKUP(B40,#REF!,5,FALSE),"")</f>
        <v/>
      </c>
      <c r="D40" s="223" t="str">
        <f>IFERROR(VLOOKUP(B40,#REF!,4,FALSE),"")</f>
        <v/>
      </c>
      <c r="E40" s="120">
        <v>39</v>
      </c>
      <c r="F40" s="224" t="e">
        <f t="shared" si="0"/>
        <v>#REF!</v>
      </c>
      <c r="G40" s="225"/>
      <c r="H40" s="122" t="e">
        <f>IF(#REF!&lt;&gt;"",#REF!,"")</f>
        <v>#REF!</v>
      </c>
      <c r="I40" s="120" t="e">
        <f>IF(VLOOKUP(H40,#REF!,4,0)="√",1,0)</f>
        <v>#REF!</v>
      </c>
      <c r="J40" s="120" t="e">
        <f>IF(VLOOKUP(H40,#REF!,5,0)="√",1,0)</f>
        <v>#REF!</v>
      </c>
      <c r="K40" s="120"/>
      <c r="V40" s="233"/>
      <c r="W40" s="233"/>
      <c r="X40" s="233"/>
      <c r="AQ40" s="220" t="s">
        <v>331</v>
      </c>
      <c r="AR40" s="221" t="s">
        <v>332</v>
      </c>
      <c r="AS40" s="220" t="s">
        <v>170</v>
      </c>
      <c r="AT40" s="220">
        <v>0</v>
      </c>
    </row>
    <row r="41" spans="1:46" ht="16.5" customHeight="1" x14ac:dyDescent="0.25">
      <c r="A41" s="120">
        <v>40</v>
      </c>
      <c r="B41" s="120" t="e">
        <f>IF(#REF!="","",#REF!)</f>
        <v>#REF!</v>
      </c>
      <c r="C41" s="120" t="str">
        <f>IFERROR(VLOOKUP(B41,#REF!,5,FALSE),"")</f>
        <v/>
      </c>
      <c r="D41" s="223" t="str">
        <f>IFERROR(VLOOKUP(B41,#REF!,4,FALSE),"")</f>
        <v/>
      </c>
      <c r="E41" s="120">
        <v>40</v>
      </c>
      <c r="F41" s="224" t="e">
        <f t="shared" si="0"/>
        <v>#REF!</v>
      </c>
      <c r="G41" s="225"/>
      <c r="H41" s="122" t="e">
        <f>IF(#REF!&lt;&gt;"",#REF!,"")</f>
        <v>#REF!</v>
      </c>
      <c r="I41" s="120" t="e">
        <f>IF(VLOOKUP(H41,#REF!,4,0)="√",1,0)</f>
        <v>#REF!</v>
      </c>
      <c r="J41" s="120" t="e">
        <f>IF(VLOOKUP(H41,#REF!,5,0)="√",1,0)</f>
        <v>#REF!</v>
      </c>
      <c r="K41" s="120"/>
      <c r="V41" s="233"/>
      <c r="W41" s="233"/>
      <c r="AI41" s="274" t="s">
        <v>65</v>
      </c>
      <c r="AJ41" s="274"/>
      <c r="AK41" s="274"/>
      <c r="AQ41" s="220" t="s">
        <v>333</v>
      </c>
      <c r="AR41" s="221" t="s">
        <v>332</v>
      </c>
      <c r="AS41" s="220" t="s">
        <v>170</v>
      </c>
      <c r="AT41" s="220">
        <v>0</v>
      </c>
    </row>
    <row r="42" spans="1:46" ht="16.5" customHeight="1" x14ac:dyDescent="0.25">
      <c r="A42" s="120">
        <v>41</v>
      </c>
      <c r="B42" s="120" t="e">
        <f>IF(#REF!="","",#REF!)</f>
        <v>#REF!</v>
      </c>
      <c r="C42" s="120" t="str">
        <f>IFERROR(VLOOKUP(B42,#REF!,5,FALSE),"")</f>
        <v/>
      </c>
      <c r="D42" s="223" t="str">
        <f>IFERROR(VLOOKUP(B42,#REF!,4,FALSE),"")</f>
        <v/>
      </c>
      <c r="E42" s="120">
        <v>41</v>
      </c>
      <c r="F42" s="224" t="e">
        <f t="shared" si="0"/>
        <v>#REF!</v>
      </c>
      <c r="G42" s="225"/>
      <c r="H42" s="122" t="e">
        <f>IF(#REF!&lt;&gt;"",#REF!,"")</f>
        <v>#REF!</v>
      </c>
      <c r="I42" s="120" t="e">
        <f>IF(VLOOKUP(H42,#REF!,4,0)="√",1,0)</f>
        <v>#REF!</v>
      </c>
      <c r="J42" s="120" t="e">
        <f>IF(VLOOKUP(H42,#REF!,5,0)="√",1,0)</f>
        <v>#REF!</v>
      </c>
      <c r="K42" s="120"/>
      <c r="V42" s="233"/>
      <c r="W42" s="233"/>
      <c r="AI42" s="239" t="s">
        <v>334</v>
      </c>
      <c r="AJ42" s="240" t="s">
        <v>335</v>
      </c>
      <c r="AK42" s="241" t="s">
        <v>336</v>
      </c>
      <c r="AQ42" s="220" t="s">
        <v>337</v>
      </c>
      <c r="AR42" s="221" t="s">
        <v>332</v>
      </c>
      <c r="AS42" s="220" t="s">
        <v>209</v>
      </c>
      <c r="AT42" s="220">
        <v>4</v>
      </c>
    </row>
    <row r="43" spans="1:46" ht="16.5" customHeight="1" x14ac:dyDescent="0.25">
      <c r="A43" s="120">
        <v>42</v>
      </c>
      <c r="B43" s="120" t="e">
        <f>IF(#REF!="","",#REF!)</f>
        <v>#REF!</v>
      </c>
      <c r="C43" s="120" t="str">
        <f>IFERROR(VLOOKUP(B43,#REF!,5,FALSE),"")</f>
        <v/>
      </c>
      <c r="D43" s="223" t="str">
        <f>IFERROR(VLOOKUP(B43,#REF!,4,FALSE),"")</f>
        <v/>
      </c>
      <c r="E43" s="120">
        <v>42</v>
      </c>
      <c r="F43" s="224" t="e">
        <f t="shared" si="0"/>
        <v>#REF!</v>
      </c>
      <c r="G43" s="225"/>
      <c r="H43" s="122" t="e">
        <f>IF(#REF!&lt;&gt;"",#REF!,"")</f>
        <v>#REF!</v>
      </c>
      <c r="I43" s="120" t="e">
        <f>IF(VLOOKUP(H43,#REF!,4,0)="√",1,0)</f>
        <v>#REF!</v>
      </c>
      <c r="J43" s="120" t="e">
        <f>IF(VLOOKUP(H43,#REF!,5,0)="√",1,0)</f>
        <v>#REF!</v>
      </c>
      <c r="K43" s="120"/>
      <c r="V43" s="233"/>
      <c r="W43" s="233"/>
      <c r="AI43" s="242" t="s">
        <v>66</v>
      </c>
      <c r="AJ43" s="242" t="s">
        <v>338</v>
      </c>
      <c r="AK43" s="242" t="s">
        <v>339</v>
      </c>
      <c r="AQ43" s="220" t="s">
        <v>340</v>
      </c>
      <c r="AR43" s="221" t="s">
        <v>332</v>
      </c>
      <c r="AS43" s="220" t="s">
        <v>201</v>
      </c>
      <c r="AT43" s="220">
        <v>1</v>
      </c>
    </row>
    <row r="44" spans="1:46" ht="16.5" customHeight="1" x14ac:dyDescent="0.25">
      <c r="A44" s="120">
        <v>43</v>
      </c>
      <c r="B44" s="120" t="e">
        <f>IF(#REF!="","",#REF!)</f>
        <v>#REF!</v>
      </c>
      <c r="C44" s="120" t="str">
        <f>IFERROR(VLOOKUP(B44,#REF!,5,FALSE),"")</f>
        <v/>
      </c>
      <c r="D44" s="223" t="str">
        <f>IFERROR(VLOOKUP(B44,#REF!,4,FALSE),"")</f>
        <v/>
      </c>
      <c r="E44" s="120">
        <v>43</v>
      </c>
      <c r="F44" s="224" t="e">
        <f t="shared" si="0"/>
        <v>#REF!</v>
      </c>
      <c r="G44" s="225"/>
      <c r="H44" s="122" t="e">
        <f>IF(#REF!&lt;&gt;"",#REF!,"")</f>
        <v>#REF!</v>
      </c>
      <c r="I44" s="120" t="e">
        <f>IF(VLOOKUP(H44,#REF!,4,0)="√",1,0)</f>
        <v>#REF!</v>
      </c>
      <c r="J44" s="120" t="e">
        <f>IF(VLOOKUP(H44,#REF!,5,0)="√",1,0)</f>
        <v>#REF!</v>
      </c>
      <c r="K44" s="120"/>
      <c r="V44" s="233"/>
      <c r="W44" s="233"/>
      <c r="AI44" s="243" t="s">
        <v>341</v>
      </c>
      <c r="AJ44" s="244" t="s">
        <v>342</v>
      </c>
      <c r="AK44" s="245" t="s">
        <v>343</v>
      </c>
      <c r="AQ44" s="220" t="s">
        <v>344</v>
      </c>
      <c r="AR44" s="221" t="s">
        <v>345</v>
      </c>
      <c r="AS44" s="220" t="s">
        <v>170</v>
      </c>
      <c r="AT44" s="220">
        <v>4</v>
      </c>
    </row>
    <row r="45" spans="1:46" ht="16.5" customHeight="1" x14ac:dyDescent="0.25">
      <c r="A45" s="120">
        <v>44</v>
      </c>
      <c r="B45" s="120" t="e">
        <f>IF(#REF!="","",#REF!)</f>
        <v>#REF!</v>
      </c>
      <c r="C45" s="120" t="str">
        <f>IFERROR(VLOOKUP(B45,#REF!,5,FALSE),"")</f>
        <v/>
      </c>
      <c r="D45" s="223" t="str">
        <f>IFERROR(VLOOKUP(B45,#REF!,4,FALSE),"")</f>
        <v/>
      </c>
      <c r="E45" s="120">
        <v>44</v>
      </c>
      <c r="F45" s="224" t="e">
        <f t="shared" si="0"/>
        <v>#REF!</v>
      </c>
      <c r="G45" s="225"/>
      <c r="H45" s="122" t="e">
        <f>IF(#REF!&lt;&gt;"",#REF!,"")</f>
        <v>#REF!</v>
      </c>
      <c r="I45" s="120" t="e">
        <f>IF(VLOOKUP(H45,#REF!,4,0)="√",1,0)</f>
        <v>#REF!</v>
      </c>
      <c r="J45" s="120" t="e">
        <f>IF(VLOOKUP(H45,#REF!,5,0)="√",1,0)</f>
        <v>#REF!</v>
      </c>
      <c r="K45" s="120"/>
      <c r="V45" s="233"/>
      <c r="W45" s="233"/>
      <c r="AQ45" s="220" t="s">
        <v>346</v>
      </c>
      <c r="AR45" s="221" t="s">
        <v>347</v>
      </c>
      <c r="AS45" s="220" t="s">
        <v>348</v>
      </c>
      <c r="AT45" s="220">
        <v>1</v>
      </c>
    </row>
    <row r="46" spans="1:46" ht="16.5" customHeight="1" x14ac:dyDescent="0.25">
      <c r="A46" s="120">
        <v>45</v>
      </c>
      <c r="B46" s="120" t="e">
        <f>IF(#REF!="","",#REF!)</f>
        <v>#REF!</v>
      </c>
      <c r="C46" s="120" t="str">
        <f>IFERROR(VLOOKUP(B46,#REF!,5,FALSE),"")</f>
        <v/>
      </c>
      <c r="D46" s="223" t="str">
        <f>IFERROR(VLOOKUP(B46,#REF!,4,FALSE),"")</f>
        <v/>
      </c>
      <c r="E46" s="120">
        <v>45</v>
      </c>
      <c r="F46" s="224" t="e">
        <f t="shared" si="0"/>
        <v>#REF!</v>
      </c>
      <c r="G46" s="225"/>
      <c r="H46" s="122" t="e">
        <f>IF(#REF!&lt;&gt;"",#REF!,"")</f>
        <v>#REF!</v>
      </c>
      <c r="I46" s="120" t="e">
        <f>IF(VLOOKUP(H46,#REF!,4,0)="√",1,0)</f>
        <v>#REF!</v>
      </c>
      <c r="J46" s="120" t="e">
        <f>IF(VLOOKUP(H46,#REF!,5,0)="√",1,0)</f>
        <v>#REF!</v>
      </c>
      <c r="K46" s="120"/>
      <c r="V46" s="233"/>
      <c r="W46" s="233"/>
      <c r="AL46" s="122" t="s">
        <v>77</v>
      </c>
      <c r="AM46" s="122" t="s">
        <v>349</v>
      </c>
      <c r="AQ46" s="220" t="s">
        <v>350</v>
      </c>
      <c r="AR46" s="221" t="s">
        <v>154</v>
      </c>
      <c r="AS46" s="220" t="s">
        <v>155</v>
      </c>
      <c r="AT46" s="220">
        <v>4</v>
      </c>
    </row>
    <row r="47" spans="1:46" ht="16.5" customHeight="1" x14ac:dyDescent="0.25">
      <c r="A47" s="120">
        <v>46</v>
      </c>
      <c r="B47" s="120" t="e">
        <f>IF(#REF!="","",#REF!)</f>
        <v>#REF!</v>
      </c>
      <c r="C47" s="120" t="str">
        <f>IFERROR(VLOOKUP(B47,#REF!,5,FALSE),"")</f>
        <v/>
      </c>
      <c r="D47" s="223" t="str">
        <f>IFERROR(VLOOKUP(B47,#REF!,4,FALSE),"")</f>
        <v/>
      </c>
      <c r="E47" s="120">
        <v>46</v>
      </c>
      <c r="F47" s="224" t="e">
        <f t="shared" si="0"/>
        <v>#REF!</v>
      </c>
      <c r="G47" s="120"/>
      <c r="H47" s="122" t="e">
        <f>IF(#REF!&lt;&gt;"",#REF!,"")</f>
        <v>#REF!</v>
      </c>
      <c r="I47" s="120" t="e">
        <f>IF(VLOOKUP(H47,#REF!,4,0)="√",1,0)</f>
        <v>#REF!</v>
      </c>
      <c r="J47" s="120" t="e">
        <f>IF(VLOOKUP(H47,#REF!,5,0)="√",1,0)</f>
        <v>#REF!</v>
      </c>
      <c r="K47" s="120"/>
      <c r="V47" s="233"/>
      <c r="W47" s="233"/>
      <c r="AL47" s="122">
        <v>1</v>
      </c>
      <c r="AM47" s="122">
        <v>2</v>
      </c>
      <c r="AQ47" s="220" t="s">
        <v>351</v>
      </c>
      <c r="AR47" s="221" t="s">
        <v>154</v>
      </c>
      <c r="AS47" s="220" t="s">
        <v>170</v>
      </c>
      <c r="AT47" s="220">
        <v>3</v>
      </c>
    </row>
    <row r="48" spans="1:46" ht="16.5" customHeight="1" x14ac:dyDescent="0.25">
      <c r="A48" s="120">
        <v>47</v>
      </c>
      <c r="B48" s="120" t="e">
        <f>IF(#REF!="","",#REF!)</f>
        <v>#REF!</v>
      </c>
      <c r="C48" s="120" t="str">
        <f>IFERROR(VLOOKUP(B48,#REF!,5,FALSE),"")</f>
        <v/>
      </c>
      <c r="D48" s="223" t="str">
        <f>IFERROR(VLOOKUP(B48,#REF!,4,FALSE),"")</f>
        <v/>
      </c>
      <c r="E48" s="120">
        <v>47</v>
      </c>
      <c r="F48" s="224" t="e">
        <f t="shared" si="0"/>
        <v>#REF!</v>
      </c>
      <c r="G48" s="120"/>
      <c r="H48" s="122" t="e">
        <f>IF(#REF!&lt;&gt;"",#REF!,"")</f>
        <v>#REF!</v>
      </c>
      <c r="I48" s="120" t="e">
        <f>IF(VLOOKUP(H48,#REF!,4,0)="√",1,0)</f>
        <v>#REF!</v>
      </c>
      <c r="J48" s="120" t="e">
        <f>IF(VLOOKUP(H48,#REF!,5,0)="√",1,0)</f>
        <v>#REF!</v>
      </c>
      <c r="K48" s="120"/>
      <c r="V48" s="233"/>
      <c r="W48" s="233"/>
      <c r="AL48" s="122">
        <v>2</v>
      </c>
      <c r="AM48" s="122">
        <v>2</v>
      </c>
      <c r="AQ48" s="220" t="s">
        <v>352</v>
      </c>
      <c r="AR48" s="221" t="s">
        <v>154</v>
      </c>
      <c r="AS48" s="220" t="s">
        <v>155</v>
      </c>
      <c r="AT48" s="220">
        <v>10</v>
      </c>
    </row>
    <row r="49" spans="1:46" ht="16.5" customHeight="1" x14ac:dyDescent="0.25">
      <c r="A49" s="120">
        <v>48</v>
      </c>
      <c r="B49" s="120" t="e">
        <f>IF(#REF!="","",#REF!)</f>
        <v>#REF!</v>
      </c>
      <c r="C49" s="120" t="str">
        <f>IFERROR(VLOOKUP(B49,#REF!,5,FALSE),"")</f>
        <v/>
      </c>
      <c r="D49" s="223" t="str">
        <f>IFERROR(VLOOKUP(B49,#REF!,4,FALSE),"")</f>
        <v/>
      </c>
      <c r="E49" s="120">
        <v>48</v>
      </c>
      <c r="F49" s="224" t="e">
        <f t="shared" si="0"/>
        <v>#REF!</v>
      </c>
      <c r="G49" s="120"/>
      <c r="H49" s="122" t="e">
        <f>IF(#REF!&lt;&gt;"",#REF!,"")</f>
        <v>#REF!</v>
      </c>
      <c r="I49" s="120" t="e">
        <f>IF(VLOOKUP(H49,#REF!,4,0)="√",1,0)</f>
        <v>#REF!</v>
      </c>
      <c r="J49" s="120" t="e">
        <f>IF(VLOOKUP(H49,#REF!,5,0)="√",1,0)</f>
        <v>#REF!</v>
      </c>
      <c r="K49" s="120"/>
      <c r="V49" s="233"/>
      <c r="W49" s="233"/>
      <c r="AL49" s="122">
        <v>3</v>
      </c>
      <c r="AM49" s="122">
        <v>2</v>
      </c>
      <c r="AQ49" s="220" t="s">
        <v>353</v>
      </c>
      <c r="AR49" s="221" t="s">
        <v>354</v>
      </c>
      <c r="AS49" s="220" t="s">
        <v>209</v>
      </c>
      <c r="AT49" s="220">
        <v>3</v>
      </c>
    </row>
    <row r="50" spans="1:46" ht="16.5" customHeight="1" x14ac:dyDescent="0.25">
      <c r="A50" s="120">
        <v>49</v>
      </c>
      <c r="B50" s="120" t="e">
        <f>IF(#REF!="","",#REF!)</f>
        <v>#REF!</v>
      </c>
      <c r="C50" s="120" t="str">
        <f>IFERROR(VLOOKUP(B50,#REF!,5,FALSE),"")</f>
        <v/>
      </c>
      <c r="D50" s="223" t="str">
        <f>IFERROR(VLOOKUP(B50,#REF!,4,FALSE),"")</f>
        <v/>
      </c>
      <c r="E50" s="120">
        <v>49</v>
      </c>
      <c r="F50" s="224" t="e">
        <f t="shared" si="0"/>
        <v>#REF!</v>
      </c>
      <c r="G50" s="120"/>
      <c r="H50" s="122" t="e">
        <f>IF(#REF!&lt;&gt;"",#REF!,"")</f>
        <v>#REF!</v>
      </c>
      <c r="I50" s="120" t="e">
        <f>IF(VLOOKUP(H50,#REF!,4,0)="√",1,0)</f>
        <v>#REF!</v>
      </c>
      <c r="J50" s="120" t="e">
        <f>IF(VLOOKUP(H50,#REF!,5,0)="√",1,0)</f>
        <v>#REF!</v>
      </c>
      <c r="K50" s="120"/>
      <c r="V50" s="233"/>
      <c r="W50" s="233"/>
      <c r="AL50" s="122">
        <v>4</v>
      </c>
      <c r="AM50" s="122">
        <v>2</v>
      </c>
      <c r="AQ50" s="220" t="s">
        <v>355</v>
      </c>
      <c r="AR50" s="221" t="s">
        <v>356</v>
      </c>
      <c r="AS50" s="220" t="s">
        <v>209</v>
      </c>
      <c r="AT50" s="220">
        <v>1</v>
      </c>
    </row>
    <row r="51" spans="1:46" ht="16.5" customHeight="1" x14ac:dyDescent="0.25">
      <c r="A51" s="120">
        <v>50</v>
      </c>
      <c r="B51" s="120" t="e">
        <f>IF(#REF!="","",#REF!)</f>
        <v>#REF!</v>
      </c>
      <c r="C51" s="120" t="str">
        <f>IFERROR(VLOOKUP(B51,#REF!,5,FALSE),"")</f>
        <v/>
      </c>
      <c r="D51" s="223" t="str">
        <f>IFERROR(VLOOKUP(B51,#REF!,4,FALSE),"")</f>
        <v/>
      </c>
      <c r="E51" s="120">
        <v>50</v>
      </c>
      <c r="F51" s="224" t="e">
        <f t="shared" si="0"/>
        <v>#REF!</v>
      </c>
      <c r="G51" s="120"/>
      <c r="H51" s="122" t="e">
        <f>IF(#REF!&lt;&gt;"",#REF!,"")</f>
        <v>#REF!</v>
      </c>
      <c r="I51" s="120" t="e">
        <f>IF(VLOOKUP(H51,#REF!,4,0)="√",1,0)</f>
        <v>#REF!</v>
      </c>
      <c r="J51" s="120" t="e">
        <f>IF(VLOOKUP(H51,#REF!,5,0)="√",1,0)</f>
        <v>#REF!</v>
      </c>
      <c r="K51" s="120"/>
      <c r="V51" s="233"/>
      <c r="W51" s="233"/>
      <c r="AL51" s="122">
        <v>5</v>
      </c>
      <c r="AM51" s="122">
        <v>3</v>
      </c>
      <c r="AQ51" s="220" t="s">
        <v>357</v>
      </c>
      <c r="AR51" s="221" t="s">
        <v>356</v>
      </c>
      <c r="AS51" s="220" t="s">
        <v>209</v>
      </c>
      <c r="AT51" s="220">
        <v>0</v>
      </c>
    </row>
    <row r="52" spans="1:46" ht="16.5" customHeight="1" x14ac:dyDescent="0.25">
      <c r="A52" s="120">
        <v>51</v>
      </c>
      <c r="B52" s="120" t="e">
        <f>IF(#REF!="","",#REF!)</f>
        <v>#REF!</v>
      </c>
      <c r="C52" s="120" t="str">
        <f>IFERROR(VLOOKUP(B52,#REF!,5,FALSE),"")</f>
        <v/>
      </c>
      <c r="D52" s="223" t="str">
        <f>IFERROR(VLOOKUP(B52,#REF!,4,FALSE),"")</f>
        <v/>
      </c>
      <c r="E52" s="120">
        <v>51</v>
      </c>
      <c r="F52" s="224" t="e">
        <f t="shared" ref="F52:F65" si="1">B52</f>
        <v>#REF!</v>
      </c>
      <c r="G52" s="120"/>
      <c r="H52" s="122" t="e">
        <f>IF(#REF!&lt;&gt;"",#REF!,"")</f>
        <v>#REF!</v>
      </c>
      <c r="I52" s="120" t="e">
        <f>IF(VLOOKUP(H52,#REF!,4,0)="√",1,0)</f>
        <v>#REF!</v>
      </c>
      <c r="J52" s="120" t="e">
        <f>IF(VLOOKUP(H52,#REF!,5,0)="√",1,0)</f>
        <v>#REF!</v>
      </c>
      <c r="K52" s="120"/>
      <c r="V52" s="233"/>
      <c r="W52" s="233"/>
      <c r="AL52" s="122">
        <v>6</v>
      </c>
      <c r="AM52" s="122">
        <v>3</v>
      </c>
      <c r="AQ52" s="220" t="s">
        <v>358</v>
      </c>
      <c r="AR52" s="221" t="s">
        <v>356</v>
      </c>
      <c r="AS52" s="220" t="s">
        <v>209</v>
      </c>
      <c r="AT52" s="220">
        <v>2</v>
      </c>
    </row>
    <row r="53" spans="1:46" ht="16.5" customHeight="1" x14ac:dyDescent="0.25">
      <c r="A53" s="120">
        <v>52</v>
      </c>
      <c r="B53" s="120" t="e">
        <f>IF(#REF!="","",#REF!)</f>
        <v>#REF!</v>
      </c>
      <c r="C53" s="120" t="str">
        <f>IFERROR(VLOOKUP(B53,#REF!,5,FALSE),"")</f>
        <v/>
      </c>
      <c r="D53" s="223" t="str">
        <f>IFERROR(VLOOKUP(B53,#REF!,4,FALSE),"")</f>
        <v/>
      </c>
      <c r="E53" s="120">
        <v>52</v>
      </c>
      <c r="F53" s="224" t="e">
        <f t="shared" si="1"/>
        <v>#REF!</v>
      </c>
      <c r="G53" s="120"/>
      <c r="H53" s="122" t="e">
        <f>IF(#REF!&lt;&gt;"",#REF!,"")</f>
        <v>#REF!</v>
      </c>
      <c r="I53" s="120" t="e">
        <f>IF(VLOOKUP(H53,#REF!,4,0)="√",1,0)</f>
        <v>#REF!</v>
      </c>
      <c r="J53" s="120" t="e">
        <f>IF(VLOOKUP(H53,#REF!,5,0)="√",1,0)</f>
        <v>#REF!</v>
      </c>
      <c r="K53" s="120"/>
      <c r="V53" s="233"/>
      <c r="W53" s="233"/>
      <c r="AL53" s="122">
        <v>7</v>
      </c>
      <c r="AM53" s="122">
        <v>3</v>
      </c>
      <c r="AQ53" s="220" t="s">
        <v>359</v>
      </c>
      <c r="AR53" s="246" t="s">
        <v>360</v>
      </c>
      <c r="AS53" s="220" t="s">
        <v>161</v>
      </c>
      <c r="AT53" s="220">
        <v>1</v>
      </c>
    </row>
    <row r="54" spans="1:46" ht="16.5" customHeight="1" x14ac:dyDescent="0.25">
      <c r="A54" s="120">
        <v>53</v>
      </c>
      <c r="B54" s="120" t="e">
        <f>IF(#REF!="","",#REF!)</f>
        <v>#REF!</v>
      </c>
      <c r="C54" s="120" t="str">
        <f>IFERROR(VLOOKUP(B54,#REF!,5,FALSE),"")</f>
        <v/>
      </c>
      <c r="D54" s="223" t="str">
        <f>IFERROR(VLOOKUP(B54,#REF!,4,FALSE),"")</f>
        <v/>
      </c>
      <c r="E54" s="120">
        <v>53</v>
      </c>
      <c r="F54" s="224" t="e">
        <f t="shared" si="1"/>
        <v>#REF!</v>
      </c>
      <c r="G54" s="120"/>
      <c r="H54" s="122" t="e">
        <f>IF(#REF!&lt;&gt;"",#REF!,"")</f>
        <v>#REF!</v>
      </c>
      <c r="I54" s="120" t="e">
        <f>IF(VLOOKUP(H54,#REF!,4,0)="√",1,0)</f>
        <v>#REF!</v>
      </c>
      <c r="J54" s="120" t="e">
        <f>IF(VLOOKUP(H54,#REF!,5,0)="√",1,0)</f>
        <v>#REF!</v>
      </c>
      <c r="K54" s="120"/>
      <c r="V54" s="233"/>
      <c r="W54" s="233"/>
      <c r="AL54" s="122">
        <v>8</v>
      </c>
      <c r="AM54" s="122">
        <v>3</v>
      </c>
      <c r="AQ54" s="220" t="s">
        <v>361</v>
      </c>
      <c r="AR54" s="221" t="s">
        <v>154</v>
      </c>
      <c r="AS54" s="220" t="s">
        <v>161</v>
      </c>
      <c r="AT54" s="220">
        <v>1</v>
      </c>
    </row>
    <row r="55" spans="1:46" ht="16.5" customHeight="1" x14ac:dyDescent="0.25">
      <c r="A55" s="120">
        <v>54</v>
      </c>
      <c r="B55" s="120" t="e">
        <f>IF(#REF!="","",#REF!)</f>
        <v>#REF!</v>
      </c>
      <c r="C55" s="120" t="str">
        <f>IFERROR(VLOOKUP(B55,#REF!,5,FALSE),"")</f>
        <v/>
      </c>
      <c r="D55" s="223" t="str">
        <f>IFERROR(VLOOKUP(B55,#REF!,4,FALSE),"")</f>
        <v/>
      </c>
      <c r="E55" s="120">
        <v>54</v>
      </c>
      <c r="F55" s="224" t="e">
        <f t="shared" si="1"/>
        <v>#REF!</v>
      </c>
      <c r="G55" s="120"/>
      <c r="H55" s="122" t="e">
        <f>IF(#REF!&lt;&gt;"",#REF!,"")</f>
        <v>#REF!</v>
      </c>
      <c r="I55" s="120" t="e">
        <f>IF(VLOOKUP(H55,#REF!,4,0)="√",1,0)</f>
        <v>#REF!</v>
      </c>
      <c r="J55" s="120" t="e">
        <f>IF(VLOOKUP(H55,#REF!,5,0)="√",1,0)</f>
        <v>#REF!</v>
      </c>
      <c r="K55" s="120"/>
      <c r="V55" s="233"/>
      <c r="W55" s="233"/>
      <c r="AI55" s="122" t="s">
        <v>109</v>
      </c>
      <c r="AJ55" s="122" t="e">
        <f>VLOOKUP(AI55,#REF!,7,FALSE)</f>
        <v>#REF!</v>
      </c>
      <c r="AL55" s="122">
        <v>9</v>
      </c>
      <c r="AM55" s="122">
        <v>4</v>
      </c>
      <c r="AQ55" s="220" t="s">
        <v>362</v>
      </c>
      <c r="AR55" s="221" t="s">
        <v>363</v>
      </c>
      <c r="AS55" s="220" t="s">
        <v>209</v>
      </c>
      <c r="AT55" s="220">
        <v>25</v>
      </c>
    </row>
    <row r="56" spans="1:46" ht="16.5" customHeight="1" x14ac:dyDescent="0.25">
      <c r="A56" s="120">
        <v>55</v>
      </c>
      <c r="B56" s="120" t="e">
        <f>IF(#REF!="","",#REF!)</f>
        <v>#REF!</v>
      </c>
      <c r="C56" s="120" t="str">
        <f>IFERROR(VLOOKUP(B56,#REF!,5,FALSE),"")</f>
        <v/>
      </c>
      <c r="D56" s="223" t="str">
        <f>IFERROR(VLOOKUP(B56,#REF!,4,FALSE),"")</f>
        <v/>
      </c>
      <c r="E56" s="120">
        <v>55</v>
      </c>
      <c r="F56" s="224" t="e">
        <f t="shared" si="1"/>
        <v>#REF!</v>
      </c>
      <c r="G56" s="120"/>
      <c r="H56" s="122" t="e">
        <f>IF(#REF!&lt;&gt;"",#REF!,"")</f>
        <v>#REF!</v>
      </c>
      <c r="I56" s="120" t="e">
        <f>IF(VLOOKUP(H56,#REF!,4,0)="√",1,0)</f>
        <v>#REF!</v>
      </c>
      <c r="J56" s="120" t="e">
        <f>IF(VLOOKUP(H56,#REF!,5,0)="√",1,0)</f>
        <v>#REF!</v>
      </c>
      <c r="K56" s="120"/>
      <c r="V56" s="233"/>
      <c r="W56" s="233"/>
      <c r="AI56" s="122" t="s">
        <v>112</v>
      </c>
      <c r="AJ56" s="122" t="e">
        <f>VLOOKUP(AI56,#REF!,7,FALSE)</f>
        <v>#REF!</v>
      </c>
      <c r="AL56" s="122">
        <v>10</v>
      </c>
      <c r="AM56" s="122">
        <v>4</v>
      </c>
      <c r="AQ56" s="220" t="s">
        <v>364</v>
      </c>
      <c r="AR56" s="221" t="s">
        <v>154</v>
      </c>
      <c r="AS56" s="220" t="s">
        <v>201</v>
      </c>
      <c r="AT56" s="220">
        <v>0</v>
      </c>
    </row>
    <row r="57" spans="1:46" ht="16.5" customHeight="1" x14ac:dyDescent="0.25">
      <c r="A57" s="120">
        <v>56</v>
      </c>
      <c r="B57" s="120" t="e">
        <f>IF(#REF!="","",#REF!)</f>
        <v>#REF!</v>
      </c>
      <c r="C57" s="120" t="str">
        <f>IFERROR(VLOOKUP(B57,#REF!,5,FALSE),"")</f>
        <v/>
      </c>
      <c r="D57" s="223" t="str">
        <f>IFERROR(VLOOKUP(B57,#REF!,4,FALSE),"")</f>
        <v/>
      </c>
      <c r="E57" s="120">
        <v>56</v>
      </c>
      <c r="F57" s="224" t="e">
        <f t="shared" si="1"/>
        <v>#REF!</v>
      </c>
      <c r="G57" s="120"/>
      <c r="H57" s="122" t="e">
        <f>IF(#REF!&lt;&gt;"",#REF!,"")</f>
        <v>#REF!</v>
      </c>
      <c r="I57" s="120" t="e">
        <f>IF(VLOOKUP(H57,#REF!,4,0)="√",1,0)</f>
        <v>#REF!</v>
      </c>
      <c r="J57" s="120" t="e">
        <f>IF(VLOOKUP(H57,#REF!,5,0)="√",1,0)</f>
        <v>#REF!</v>
      </c>
      <c r="K57" s="120"/>
      <c r="V57" s="233"/>
      <c r="W57" s="233"/>
      <c r="AI57" s="122" t="s">
        <v>116</v>
      </c>
      <c r="AJ57" s="122" t="e">
        <f>VLOOKUP(AI57,#REF!,7,FALSE)</f>
        <v>#REF!</v>
      </c>
      <c r="AL57" s="122">
        <v>11</v>
      </c>
      <c r="AM57" s="122">
        <v>4</v>
      </c>
      <c r="AQ57" s="220" t="s">
        <v>365</v>
      </c>
      <c r="AR57" s="221" t="s">
        <v>154</v>
      </c>
      <c r="AS57" s="220" t="s">
        <v>348</v>
      </c>
      <c r="AT57" s="220">
        <v>0</v>
      </c>
    </row>
    <row r="58" spans="1:46" ht="16.5" customHeight="1" x14ac:dyDescent="0.25">
      <c r="A58" s="120">
        <v>57</v>
      </c>
      <c r="B58" s="120" t="e">
        <f>IF(#REF!="","",#REF!)</f>
        <v>#REF!</v>
      </c>
      <c r="C58" s="120" t="str">
        <f>IFERROR(VLOOKUP(B58,#REF!,5,FALSE),"")</f>
        <v/>
      </c>
      <c r="D58" s="223" t="str">
        <f>IFERROR(VLOOKUP(B58,#REF!,4,FALSE),"")</f>
        <v/>
      </c>
      <c r="E58" s="120">
        <v>57</v>
      </c>
      <c r="F58" s="224" t="e">
        <f t="shared" si="1"/>
        <v>#REF!</v>
      </c>
      <c r="G58" s="120"/>
      <c r="H58" s="122" t="e">
        <f>IF(#REF!&lt;&gt;"",#REF!,"")</f>
        <v>#REF!</v>
      </c>
      <c r="I58" s="120" t="e">
        <f>IF(VLOOKUP(H58,#REF!,4,0)="√",1,0)</f>
        <v>#REF!</v>
      </c>
      <c r="J58" s="120" t="e">
        <f>IF(VLOOKUP(H58,#REF!,5,0)="√",1,0)</f>
        <v>#REF!</v>
      </c>
      <c r="K58" s="120"/>
      <c r="V58" s="233"/>
      <c r="W58" s="233"/>
      <c r="AI58" s="122" t="s">
        <v>120</v>
      </c>
      <c r="AJ58" s="122" t="e">
        <f>VLOOKUP(AI58,#REF!,7,FALSE)</f>
        <v>#REF!</v>
      </c>
      <c r="AL58" s="122">
        <v>12</v>
      </c>
      <c r="AM58" s="122">
        <v>4</v>
      </c>
      <c r="AQ58" s="220" t="s">
        <v>366</v>
      </c>
      <c r="AR58" s="221" t="s">
        <v>154</v>
      </c>
      <c r="AS58" s="220" t="s">
        <v>348</v>
      </c>
      <c r="AT58" s="220">
        <v>4</v>
      </c>
    </row>
    <row r="59" spans="1:46" ht="16.5" customHeight="1" x14ac:dyDescent="0.25">
      <c r="A59" s="120">
        <v>58</v>
      </c>
      <c r="B59" s="120" t="e">
        <f>IF(#REF!="","",#REF!)</f>
        <v>#REF!</v>
      </c>
      <c r="C59" s="120" t="str">
        <f>IFERROR(VLOOKUP(B59,#REF!,5,FALSE),"")</f>
        <v/>
      </c>
      <c r="D59" s="223" t="str">
        <f>IFERROR(VLOOKUP(B59,#REF!,4,FALSE),"")</f>
        <v/>
      </c>
      <c r="E59" s="120">
        <v>58</v>
      </c>
      <c r="F59" s="224" t="e">
        <f t="shared" si="1"/>
        <v>#REF!</v>
      </c>
      <c r="G59" s="120"/>
      <c r="H59" s="122" t="e">
        <f>IF(#REF!&lt;&gt;"",#REF!,"")</f>
        <v>#REF!</v>
      </c>
      <c r="I59" s="120" t="e">
        <f>IF(VLOOKUP(H59,#REF!,4,0)="√",1,0)</f>
        <v>#REF!</v>
      </c>
      <c r="J59" s="120" t="e">
        <f>IF(VLOOKUP(H59,#REF!,5,0)="√",1,0)</f>
        <v>#REF!</v>
      </c>
      <c r="K59" s="120"/>
      <c r="V59" s="233"/>
      <c r="W59" s="233"/>
      <c r="AI59" s="122" t="s">
        <v>125</v>
      </c>
      <c r="AJ59" s="122" t="e">
        <f>VLOOKUP(AI59,#REF!,7,FALSE)</f>
        <v>#REF!</v>
      </c>
      <c r="AL59" s="122">
        <v>13</v>
      </c>
      <c r="AM59" s="122">
        <v>5</v>
      </c>
      <c r="AQ59" s="220" t="s">
        <v>367</v>
      </c>
      <c r="AR59" s="221" t="s">
        <v>154</v>
      </c>
      <c r="AS59" s="220" t="s">
        <v>368</v>
      </c>
      <c r="AT59" s="220">
        <v>25</v>
      </c>
    </row>
    <row r="60" spans="1:46" ht="16.5" customHeight="1" x14ac:dyDescent="0.25">
      <c r="A60" s="120">
        <v>59</v>
      </c>
      <c r="B60" s="120" t="e">
        <f>IF(#REF!="","",#REF!)</f>
        <v>#REF!</v>
      </c>
      <c r="C60" s="120" t="str">
        <f>IFERROR(VLOOKUP(B60,#REF!,5,FALSE),"")</f>
        <v/>
      </c>
      <c r="D60" s="223" t="str">
        <f>IFERROR(VLOOKUP(B60,#REF!,4,FALSE),"")</f>
        <v/>
      </c>
      <c r="E60" s="120">
        <v>59</v>
      </c>
      <c r="F60" s="224" t="e">
        <f t="shared" si="1"/>
        <v>#REF!</v>
      </c>
      <c r="G60" s="120"/>
      <c r="H60" s="122" t="e">
        <f>IF(#REF!&lt;&gt;"",#REF!,"")</f>
        <v>#REF!</v>
      </c>
      <c r="I60" s="120" t="e">
        <f>IF(VLOOKUP(H60,#REF!,4,0)="√",1,0)</f>
        <v>#REF!</v>
      </c>
      <c r="J60" s="120" t="e">
        <f>IF(VLOOKUP(H60,#REF!,5,0)="√",1,0)</f>
        <v>#REF!</v>
      </c>
      <c r="K60" s="120"/>
      <c r="V60" s="233"/>
      <c r="W60" s="233"/>
      <c r="AI60" s="122" t="s">
        <v>127</v>
      </c>
      <c r="AJ60" s="122" t="e">
        <f>VLOOKUP(AI60,#REF!,7,FALSE)</f>
        <v>#REF!</v>
      </c>
      <c r="AL60" s="122">
        <v>14</v>
      </c>
      <c r="AM60" s="122">
        <v>5</v>
      </c>
      <c r="AQ60" s="220" t="s">
        <v>369</v>
      </c>
      <c r="AR60" s="221" t="s">
        <v>370</v>
      </c>
      <c r="AS60" s="220" t="s">
        <v>253</v>
      </c>
      <c r="AT60" s="220">
        <v>1</v>
      </c>
    </row>
    <row r="61" spans="1:46" ht="16.5" customHeight="1" x14ac:dyDescent="0.25">
      <c r="A61" s="120">
        <v>60</v>
      </c>
      <c r="B61" s="120" t="e">
        <f>IF(#REF!="","",#REF!)</f>
        <v>#REF!</v>
      </c>
      <c r="C61" s="120" t="str">
        <f>IFERROR(VLOOKUP(B61,#REF!,5,FALSE),"")</f>
        <v/>
      </c>
      <c r="D61" s="223" t="str">
        <f>IFERROR(VLOOKUP(B61,#REF!,4,FALSE),"")</f>
        <v/>
      </c>
      <c r="E61" s="120">
        <v>60</v>
      </c>
      <c r="F61" s="224" t="e">
        <f t="shared" si="1"/>
        <v>#REF!</v>
      </c>
      <c r="G61" s="120"/>
      <c r="H61" s="122" t="e">
        <f>IF(#REF!&lt;&gt;"",#REF!,"")</f>
        <v>#REF!</v>
      </c>
      <c r="I61" s="120" t="e">
        <f>IF(VLOOKUP(H61,#REF!,4,0)="√",1,0)</f>
        <v>#REF!</v>
      </c>
      <c r="J61" s="120" t="e">
        <f>IF(VLOOKUP(H61,#REF!,5,0)="√",1,0)</f>
        <v>#REF!</v>
      </c>
      <c r="K61" s="120"/>
      <c r="V61" s="233"/>
      <c r="W61" s="233"/>
      <c r="AI61" s="122" t="s">
        <v>128</v>
      </c>
      <c r="AJ61" s="122" t="e">
        <f>VLOOKUP(AI61,#REF!,7,FALSE)</f>
        <v>#REF!</v>
      </c>
      <c r="AL61" s="122">
        <v>15</v>
      </c>
      <c r="AM61" s="122">
        <v>5</v>
      </c>
      <c r="AQ61" s="220" t="s">
        <v>371</v>
      </c>
      <c r="AR61" s="221" t="s">
        <v>372</v>
      </c>
      <c r="AS61" s="220" t="s">
        <v>201</v>
      </c>
      <c r="AT61" s="220">
        <v>2</v>
      </c>
    </row>
    <row r="62" spans="1:46" ht="16.5" customHeight="1" x14ac:dyDescent="0.25">
      <c r="A62" s="120">
        <v>61</v>
      </c>
      <c r="B62" s="120" t="e">
        <f>IF(#REF!="","",#REF!)</f>
        <v>#REF!</v>
      </c>
      <c r="C62" s="120" t="str">
        <f>IFERROR(VLOOKUP(B62,#REF!,5,FALSE),"")</f>
        <v/>
      </c>
      <c r="D62" s="223" t="str">
        <f>IFERROR(VLOOKUP(B62,#REF!,4,FALSE),"")</f>
        <v/>
      </c>
      <c r="E62" s="120">
        <v>61</v>
      </c>
      <c r="F62" s="224" t="e">
        <f t="shared" si="1"/>
        <v>#REF!</v>
      </c>
      <c r="G62" s="120"/>
      <c r="H62" s="122" t="e">
        <f>IF(#REF!&lt;&gt;"",#REF!,"")</f>
        <v>#REF!</v>
      </c>
      <c r="I62" s="120" t="e">
        <f>IF(VLOOKUP(H62,#REF!,4,0)="√",1,0)</f>
        <v>#REF!</v>
      </c>
      <c r="J62" s="120" t="e">
        <f>IF(VLOOKUP(H62,#REF!,5,0)="√",1,0)</f>
        <v>#REF!</v>
      </c>
      <c r="K62" s="120"/>
      <c r="V62" s="233"/>
      <c r="W62" s="233"/>
      <c r="AI62" s="122" t="s">
        <v>129</v>
      </c>
      <c r="AJ62" s="122" t="e">
        <f>VLOOKUP(AI62,#REF!,7,FALSE)</f>
        <v>#REF!</v>
      </c>
      <c r="AL62" s="122">
        <v>16</v>
      </c>
      <c r="AM62" s="122">
        <v>5</v>
      </c>
      <c r="AQ62" s="220" t="s">
        <v>373</v>
      </c>
      <c r="AR62" s="221" t="s">
        <v>374</v>
      </c>
      <c r="AS62" s="220" t="s">
        <v>209</v>
      </c>
      <c r="AT62" s="220">
        <v>2</v>
      </c>
    </row>
    <row r="63" spans="1:46" ht="16.5" customHeight="1" x14ac:dyDescent="0.25">
      <c r="A63" s="120">
        <v>62</v>
      </c>
      <c r="B63" s="120" t="e">
        <f>IF(#REF!="","",#REF!)</f>
        <v>#REF!</v>
      </c>
      <c r="C63" s="120" t="str">
        <f>IFERROR(VLOOKUP(B63,#REF!,5,FALSE),"")</f>
        <v/>
      </c>
      <c r="D63" s="223" t="str">
        <f>IFERROR(VLOOKUP(B63,#REF!,4,FALSE),"")</f>
        <v/>
      </c>
      <c r="E63" s="120">
        <v>62</v>
      </c>
      <c r="F63" s="224" t="e">
        <f t="shared" si="1"/>
        <v>#REF!</v>
      </c>
      <c r="G63" s="120"/>
      <c r="H63" s="122" t="e">
        <f>IF(#REF!&lt;&gt;"",#REF!,"")</f>
        <v>#REF!</v>
      </c>
      <c r="I63" s="120" t="e">
        <f>IF(VLOOKUP(H63,#REF!,4,0)="√",1,0)</f>
        <v>#REF!</v>
      </c>
      <c r="J63" s="120" t="e">
        <f>IF(VLOOKUP(H63,#REF!,5,0)="√",1,0)</f>
        <v>#REF!</v>
      </c>
      <c r="K63" s="120"/>
      <c r="V63" s="233"/>
      <c r="W63" s="233"/>
      <c r="AI63" s="122" t="s">
        <v>130</v>
      </c>
      <c r="AJ63" s="122" t="e">
        <f>VLOOKUP(AI63,#REF!,7,FALSE)</f>
        <v>#REF!</v>
      </c>
      <c r="AL63" s="122">
        <v>17</v>
      </c>
      <c r="AM63" s="122">
        <v>6</v>
      </c>
      <c r="AQ63" s="220" t="s">
        <v>375</v>
      </c>
      <c r="AR63" s="221" t="s">
        <v>376</v>
      </c>
      <c r="AS63" s="220" t="s">
        <v>201</v>
      </c>
      <c r="AT63" s="220">
        <v>1</v>
      </c>
    </row>
    <row r="64" spans="1:46" ht="16.5" customHeight="1" x14ac:dyDescent="0.25">
      <c r="A64" s="120">
        <v>63</v>
      </c>
      <c r="B64" s="120" t="e">
        <f>IF(#REF!="","",#REF!)</f>
        <v>#REF!</v>
      </c>
      <c r="C64" s="120" t="str">
        <f>IFERROR(VLOOKUP(B64,#REF!,5,FALSE),"")</f>
        <v/>
      </c>
      <c r="D64" s="223" t="str">
        <f>IFERROR(VLOOKUP(B64,#REF!,4,FALSE),"")</f>
        <v/>
      </c>
      <c r="E64" s="120">
        <v>63</v>
      </c>
      <c r="F64" s="224" t="e">
        <f t="shared" si="1"/>
        <v>#REF!</v>
      </c>
      <c r="G64" s="120"/>
      <c r="H64" s="122" t="e">
        <f>IF(#REF!&lt;&gt;"",#REF!,"")</f>
        <v>#REF!</v>
      </c>
      <c r="I64" s="120" t="e">
        <f>IF(VLOOKUP(H64,#REF!,4,0)="√",1,0)</f>
        <v>#REF!</v>
      </c>
      <c r="J64" s="120" t="e">
        <f>IF(VLOOKUP(H64,#REF!,5,0)="√",1,0)</f>
        <v>#REF!</v>
      </c>
      <c r="K64" s="120"/>
      <c r="V64" s="233"/>
      <c r="W64" s="233"/>
      <c r="AI64" s="122" t="s">
        <v>131</v>
      </c>
      <c r="AJ64" s="122" t="e">
        <f>VLOOKUP(AI64,#REF!,7,FALSE)</f>
        <v>#REF!</v>
      </c>
      <c r="AL64" s="122">
        <v>18</v>
      </c>
      <c r="AM64" s="122">
        <v>6</v>
      </c>
      <c r="AQ64" s="220" t="s">
        <v>377</v>
      </c>
      <c r="AR64" s="221" t="s">
        <v>378</v>
      </c>
      <c r="AS64" s="220" t="s">
        <v>379</v>
      </c>
      <c r="AT64" s="220">
        <v>0</v>
      </c>
    </row>
    <row r="65" spans="1:46" ht="16.5" customHeight="1" x14ac:dyDescent="0.25">
      <c r="A65" s="120">
        <v>64</v>
      </c>
      <c r="B65" s="120" t="e">
        <f>IF(#REF!="","",#REF!)</f>
        <v>#REF!</v>
      </c>
      <c r="C65" s="120" t="str">
        <f>IFERROR(VLOOKUP(B65,#REF!,5,FALSE),"")</f>
        <v/>
      </c>
      <c r="D65" s="223" t="str">
        <f>IFERROR(VLOOKUP(B65,#REF!,4,FALSE),"")</f>
        <v/>
      </c>
      <c r="E65" s="120">
        <v>64</v>
      </c>
      <c r="F65" s="224" t="e">
        <f t="shared" si="1"/>
        <v>#REF!</v>
      </c>
      <c r="G65" s="120"/>
      <c r="H65" s="122" t="e">
        <f>IF(#REF!&lt;&gt;"",#REF!,"")</f>
        <v>#REF!</v>
      </c>
      <c r="I65" s="120" t="e">
        <f>IF(VLOOKUP(H65,#REF!,4,0)="√",1,0)</f>
        <v>#REF!</v>
      </c>
      <c r="J65" s="120" t="e">
        <f>IF(VLOOKUP(H65,#REF!,5,0)="√",1,0)</f>
        <v>#REF!</v>
      </c>
      <c r="K65" s="120"/>
      <c r="V65" s="233"/>
      <c r="W65" s="233"/>
      <c r="AI65" s="122" t="s">
        <v>132</v>
      </c>
      <c r="AJ65" s="122" t="e">
        <f>VLOOKUP(AI65,#REF!,7,FALSE)</f>
        <v>#REF!</v>
      </c>
      <c r="AL65" s="122">
        <v>19</v>
      </c>
      <c r="AM65" s="122">
        <v>6</v>
      </c>
      <c r="AQ65" s="220" t="s">
        <v>380</v>
      </c>
      <c r="AR65" s="221" t="s">
        <v>381</v>
      </c>
      <c r="AS65" s="220" t="s">
        <v>155</v>
      </c>
      <c r="AT65" s="220">
        <v>6</v>
      </c>
    </row>
    <row r="66" spans="1:46" ht="16.5" customHeight="1" x14ac:dyDescent="0.25">
      <c r="A66" s="120">
        <v>65</v>
      </c>
      <c r="B66" s="120" t="e">
        <f>IF(#REF!="","",#REF!)</f>
        <v>#REF!</v>
      </c>
      <c r="C66" s="120" t="str">
        <f>IFERROR(VLOOKUP(B66,#REF!,5,FALSE),"")</f>
        <v/>
      </c>
      <c r="D66" s="223" t="str">
        <f>IFERROR(VLOOKUP(B66,#REF!,4,FALSE),"")</f>
        <v/>
      </c>
      <c r="E66" s="120">
        <v>65</v>
      </c>
      <c r="F66" s="224" t="e">
        <f t="shared" ref="F66:F101" si="2">B66</f>
        <v>#REF!</v>
      </c>
      <c r="G66" s="120"/>
      <c r="H66" s="122" t="e">
        <f>IF(#REF!&lt;&gt;"",#REF!,"")</f>
        <v>#REF!</v>
      </c>
      <c r="I66" s="120" t="e">
        <f>IF(VLOOKUP(H66,#REF!,4,0)="√",1,0)</f>
        <v>#REF!</v>
      </c>
      <c r="J66" s="120" t="e">
        <f>IF(VLOOKUP(H66,#REF!,5,0)="√",1,0)</f>
        <v>#REF!</v>
      </c>
      <c r="K66" s="120"/>
      <c r="V66" s="233"/>
      <c r="W66" s="233"/>
      <c r="AI66" s="122" t="s">
        <v>135</v>
      </c>
      <c r="AJ66" s="122" t="e">
        <f>VLOOKUP(AI66,#REF!,7,FALSE)</f>
        <v>#REF!</v>
      </c>
      <c r="AL66" s="122">
        <v>20</v>
      </c>
      <c r="AM66" s="122">
        <v>6</v>
      </c>
      <c r="AQ66" s="220" t="s">
        <v>382</v>
      </c>
      <c r="AR66" s="221" t="s">
        <v>383</v>
      </c>
      <c r="AS66" s="220" t="s">
        <v>384</v>
      </c>
      <c r="AT66" s="220">
        <v>1</v>
      </c>
    </row>
    <row r="67" spans="1:46" ht="16.5" customHeight="1" x14ac:dyDescent="0.25">
      <c r="A67" s="120">
        <v>66</v>
      </c>
      <c r="B67" s="120" t="e">
        <f>IF(#REF!="","",#REF!)</f>
        <v>#REF!</v>
      </c>
      <c r="C67" s="120" t="str">
        <f>IFERROR(VLOOKUP(B67,#REF!,5,FALSE),"")</f>
        <v/>
      </c>
      <c r="D67" s="223" t="str">
        <f>IFERROR(VLOOKUP(B67,#REF!,4,FALSE),"")</f>
        <v/>
      </c>
      <c r="E67" s="120">
        <v>66</v>
      </c>
      <c r="F67" s="224" t="e">
        <f t="shared" si="2"/>
        <v>#REF!</v>
      </c>
      <c r="G67" s="120"/>
      <c r="H67" s="122" t="e">
        <f>IF(#REF!&lt;&gt;"",#REF!,"")</f>
        <v>#REF!</v>
      </c>
      <c r="I67" s="120" t="e">
        <f>IF(VLOOKUP(H67,#REF!,4,0)="√",1,0)</f>
        <v>#REF!</v>
      </c>
      <c r="J67" s="120" t="e">
        <f>IF(VLOOKUP(H67,#REF!,5,0)="√",1,0)</f>
        <v>#REF!</v>
      </c>
      <c r="K67" s="120"/>
      <c r="V67" s="233"/>
      <c r="W67" s="233"/>
      <c r="AI67" s="122" t="s">
        <v>136</v>
      </c>
      <c r="AJ67" s="122" t="e">
        <f>VLOOKUP(AI67,#REF!,7,FALSE)</f>
        <v>#REF!</v>
      </c>
      <c r="AQ67" s="220" t="s">
        <v>385</v>
      </c>
      <c r="AR67" s="221" t="s">
        <v>154</v>
      </c>
      <c r="AS67" s="220" t="s">
        <v>209</v>
      </c>
      <c r="AT67" s="220">
        <v>0.5</v>
      </c>
    </row>
    <row r="68" spans="1:46" ht="16.5" customHeight="1" x14ac:dyDescent="0.25">
      <c r="A68" s="120">
        <v>67</v>
      </c>
      <c r="B68" s="120" t="e">
        <f>IF(#REF!="","",#REF!)</f>
        <v>#REF!</v>
      </c>
      <c r="C68" s="120" t="str">
        <f>IFERROR(VLOOKUP(B68,#REF!,5,FALSE),"")</f>
        <v/>
      </c>
      <c r="D68" s="223" t="str">
        <f>IFERROR(VLOOKUP(B68,#REF!,4,FALSE),"")</f>
        <v/>
      </c>
      <c r="E68" s="120">
        <v>67</v>
      </c>
      <c r="F68" s="224" t="e">
        <f t="shared" si="2"/>
        <v>#REF!</v>
      </c>
      <c r="G68" s="120"/>
      <c r="H68" s="122" t="e">
        <f>IF(#REF!&lt;&gt;"",#REF!,"")</f>
        <v>#REF!</v>
      </c>
      <c r="I68" s="120" t="e">
        <f>IF(VLOOKUP(H68,#REF!,4,0)="√",1,0)</f>
        <v>#REF!</v>
      </c>
      <c r="J68" s="120" t="e">
        <f>IF(VLOOKUP(H68,#REF!,5,0)="√",1,0)</f>
        <v>#REF!</v>
      </c>
      <c r="K68" s="120"/>
      <c r="V68" s="233"/>
      <c r="W68" s="233"/>
      <c r="AI68" s="122" t="s">
        <v>137</v>
      </c>
      <c r="AJ68" s="122" t="e">
        <f>VLOOKUP(AI68,#REF!,7,FALSE)</f>
        <v>#REF!</v>
      </c>
      <c r="AL68" s="219" t="s">
        <v>386</v>
      </c>
      <c r="AM68" s="219" t="s">
        <v>349</v>
      </c>
      <c r="AQ68" s="220" t="s">
        <v>387</v>
      </c>
      <c r="AR68" s="221" t="s">
        <v>388</v>
      </c>
      <c r="AS68" s="220" t="s">
        <v>368</v>
      </c>
      <c r="AT68" s="220">
        <v>1</v>
      </c>
    </row>
    <row r="69" spans="1:46" ht="16.5" customHeight="1" x14ac:dyDescent="0.25">
      <c r="A69" s="120">
        <v>68</v>
      </c>
      <c r="B69" s="120" t="e">
        <f>IF(#REF!="","",#REF!)</f>
        <v>#REF!</v>
      </c>
      <c r="C69" s="120" t="str">
        <f>IFERROR(VLOOKUP(B69,#REF!,5,FALSE),"")</f>
        <v/>
      </c>
      <c r="D69" s="223" t="str">
        <f>IFERROR(VLOOKUP(B69,#REF!,4,FALSE),"")</f>
        <v/>
      </c>
      <c r="E69" s="120">
        <v>68</v>
      </c>
      <c r="F69" s="224" t="e">
        <f t="shared" si="2"/>
        <v>#REF!</v>
      </c>
      <c r="G69" s="120"/>
      <c r="H69" s="120"/>
      <c r="I69" s="120"/>
      <c r="J69" s="120"/>
      <c r="K69" s="120"/>
      <c r="V69" s="233"/>
      <c r="W69" s="233"/>
      <c r="AI69" s="122" t="s">
        <v>138</v>
      </c>
      <c r="AJ69" s="122" t="e">
        <f>VLOOKUP(AI69,#REF!,7,FALSE)</f>
        <v>#REF!</v>
      </c>
      <c r="AL69" s="247">
        <v>0</v>
      </c>
      <c r="AM69" s="248">
        <v>2</v>
      </c>
      <c r="AQ69" s="220" t="s">
        <v>389</v>
      </c>
      <c r="AR69" s="221" t="s">
        <v>154</v>
      </c>
      <c r="AS69" s="220" t="s">
        <v>384</v>
      </c>
      <c r="AT69" s="220">
        <v>0</v>
      </c>
    </row>
    <row r="70" spans="1:46" ht="16.5" customHeight="1" x14ac:dyDescent="0.25">
      <c r="A70" s="120">
        <v>69</v>
      </c>
      <c r="B70" s="120" t="e">
        <f>IF(#REF!="","",#REF!)</f>
        <v>#REF!</v>
      </c>
      <c r="C70" s="120" t="str">
        <f>IFERROR(VLOOKUP(B70,#REF!,5,FALSE),"")</f>
        <v/>
      </c>
      <c r="D70" s="223" t="str">
        <f>IFERROR(VLOOKUP(B70,#REF!,4,FALSE),"")</f>
        <v/>
      </c>
      <c r="E70" s="120">
        <v>69</v>
      </c>
      <c r="F70" s="224" t="e">
        <f t="shared" si="2"/>
        <v>#REF!</v>
      </c>
      <c r="G70" s="120"/>
      <c r="H70" s="120"/>
      <c r="I70" s="120"/>
      <c r="J70" s="120"/>
      <c r="K70" s="120"/>
      <c r="V70" s="233"/>
      <c r="W70" s="233"/>
      <c r="AI70" s="122" t="s">
        <v>141</v>
      </c>
      <c r="AJ70" s="122" t="e">
        <f>VLOOKUP(AI70,#REF!,7,FALSE)</f>
        <v>#REF!</v>
      </c>
      <c r="AL70" s="247" t="s">
        <v>390</v>
      </c>
      <c r="AM70" s="248">
        <v>2</v>
      </c>
      <c r="AQ70" s="220" t="s">
        <v>391</v>
      </c>
      <c r="AR70" s="221" t="s">
        <v>154</v>
      </c>
      <c r="AS70" s="220" t="s">
        <v>368</v>
      </c>
      <c r="AT70" s="220">
        <v>0</v>
      </c>
    </row>
    <row r="71" spans="1:46" ht="16.5" customHeight="1" x14ac:dyDescent="0.25">
      <c r="A71" s="120">
        <v>70</v>
      </c>
      <c r="B71" s="120" t="e">
        <f>IF(#REF!="","",#REF!)</f>
        <v>#REF!</v>
      </c>
      <c r="C71" s="120" t="str">
        <f>IFERROR(VLOOKUP(B71,#REF!,5,FALSE),"")</f>
        <v/>
      </c>
      <c r="D71" s="223" t="str">
        <f>IFERROR(VLOOKUP(B71,#REF!,4,FALSE),"")</f>
        <v/>
      </c>
      <c r="E71" s="120">
        <v>70</v>
      </c>
      <c r="F71" s="224" t="e">
        <f t="shared" si="2"/>
        <v>#REF!</v>
      </c>
      <c r="G71" s="120"/>
      <c r="H71" s="120"/>
      <c r="I71" s="120"/>
      <c r="J71" s="120"/>
      <c r="K71" s="120"/>
      <c r="V71" s="233"/>
      <c r="W71" s="233"/>
      <c r="AI71" s="122" t="s">
        <v>142</v>
      </c>
      <c r="AJ71" s="122" t="e">
        <f>VLOOKUP(AI71,#REF!,7,FALSE)</f>
        <v>#REF!</v>
      </c>
      <c r="AL71" s="247" t="s">
        <v>392</v>
      </c>
      <c r="AM71" s="248">
        <v>2</v>
      </c>
      <c r="AQ71" s="220" t="s">
        <v>393</v>
      </c>
      <c r="AR71" s="221" t="s">
        <v>154</v>
      </c>
      <c r="AS71" s="220" t="s">
        <v>209</v>
      </c>
      <c r="AT71" s="220">
        <v>0</v>
      </c>
    </row>
    <row r="72" spans="1:46" ht="16.5" customHeight="1" x14ac:dyDescent="0.25">
      <c r="A72" s="120">
        <v>71</v>
      </c>
      <c r="B72" s="120" t="e">
        <f>IF(#REF!="","",#REF!)</f>
        <v>#REF!</v>
      </c>
      <c r="C72" s="120" t="str">
        <f>IFERROR(VLOOKUP(B72,#REF!,5,FALSE),"")</f>
        <v/>
      </c>
      <c r="D72" s="223" t="str">
        <f>IFERROR(VLOOKUP(B72,#REF!,4,FALSE),"")</f>
        <v/>
      </c>
      <c r="E72" s="120">
        <v>71</v>
      </c>
      <c r="F72" s="224" t="e">
        <f t="shared" si="2"/>
        <v>#REF!</v>
      </c>
      <c r="G72" s="120"/>
      <c r="H72" s="120"/>
      <c r="I72" s="120"/>
      <c r="J72" s="120"/>
      <c r="K72" s="120"/>
      <c r="V72" s="233"/>
      <c r="W72" s="233"/>
      <c r="AI72" s="122" t="s">
        <v>143</v>
      </c>
      <c r="AJ72" s="122" t="e">
        <f>VLOOKUP(AI72,#REF!,7,FALSE)</f>
        <v>#REF!</v>
      </c>
      <c r="AL72" s="247" t="s">
        <v>394</v>
      </c>
      <c r="AM72" s="248">
        <v>2</v>
      </c>
      <c r="AQ72" s="220" t="s">
        <v>395</v>
      </c>
      <c r="AR72" s="221" t="s">
        <v>154</v>
      </c>
      <c r="AS72" s="220" t="s">
        <v>155</v>
      </c>
      <c r="AT72" s="220">
        <v>10</v>
      </c>
    </row>
    <row r="73" spans="1:46" ht="16.5" customHeight="1" x14ac:dyDescent="0.25">
      <c r="A73" s="120">
        <v>72</v>
      </c>
      <c r="B73" s="120" t="e">
        <f>IF(#REF!="","",#REF!)</f>
        <v>#REF!</v>
      </c>
      <c r="C73" s="120" t="str">
        <f>IFERROR(VLOOKUP(B73,#REF!,5,FALSE),"")</f>
        <v/>
      </c>
      <c r="D73" s="223" t="str">
        <f>IFERROR(VLOOKUP(B73,#REF!,4,FALSE),"")</f>
        <v/>
      </c>
      <c r="E73" s="120">
        <v>72</v>
      </c>
      <c r="F73" s="224" t="e">
        <f t="shared" si="2"/>
        <v>#REF!</v>
      </c>
      <c r="G73" s="120"/>
      <c r="H73" s="120"/>
      <c r="I73" s="120"/>
      <c r="J73" s="120"/>
      <c r="K73" s="120"/>
      <c r="AL73" s="249">
        <v>1</v>
      </c>
      <c r="AM73" s="248">
        <v>2</v>
      </c>
      <c r="AQ73" s="220" t="s">
        <v>396</v>
      </c>
      <c r="AR73" s="221" t="s">
        <v>154</v>
      </c>
      <c r="AS73" s="220" t="s">
        <v>280</v>
      </c>
      <c r="AT73" s="220">
        <v>0.25</v>
      </c>
    </row>
    <row r="74" spans="1:46" ht="16.5" customHeight="1" x14ac:dyDescent="0.25">
      <c r="A74" s="120">
        <v>73</v>
      </c>
      <c r="B74" s="120" t="e">
        <f>IF(#REF!="","",#REF!)</f>
        <v>#REF!</v>
      </c>
      <c r="C74" s="120" t="str">
        <f>IFERROR(VLOOKUP(B74,#REF!,5,FALSE),"")</f>
        <v/>
      </c>
      <c r="D74" s="223" t="str">
        <f>IFERROR(VLOOKUP(B74,#REF!,4,FALSE),"")</f>
        <v/>
      </c>
      <c r="E74" s="120">
        <v>73</v>
      </c>
      <c r="F74" s="224" t="e">
        <f t="shared" si="2"/>
        <v>#REF!</v>
      </c>
      <c r="G74" s="120"/>
      <c r="H74" s="120"/>
      <c r="I74" s="120"/>
      <c r="J74" s="120"/>
      <c r="K74" s="120"/>
      <c r="AL74" s="249">
        <v>2</v>
      </c>
      <c r="AM74" s="248">
        <v>2</v>
      </c>
      <c r="AQ74" s="220" t="s">
        <v>397</v>
      </c>
      <c r="AR74" s="221" t="s">
        <v>398</v>
      </c>
      <c r="AS74" s="220" t="s">
        <v>379</v>
      </c>
      <c r="AT74" s="220">
        <v>0</v>
      </c>
    </row>
    <row r="75" spans="1:46" ht="16.5" customHeight="1" x14ac:dyDescent="0.25">
      <c r="A75" s="120">
        <v>74</v>
      </c>
      <c r="B75" s="120" t="e">
        <f>IF(#REF!="","",#REF!)</f>
        <v>#REF!</v>
      </c>
      <c r="C75" s="120" t="str">
        <f>IFERROR(VLOOKUP(B75,#REF!,5,FALSE),"")</f>
        <v/>
      </c>
      <c r="D75" s="223" t="str">
        <f>IFERROR(VLOOKUP(B75,#REF!,4,FALSE),"")</f>
        <v/>
      </c>
      <c r="E75" s="120">
        <v>74</v>
      </c>
      <c r="F75" s="224" t="e">
        <f t="shared" si="2"/>
        <v>#REF!</v>
      </c>
      <c r="G75" s="120"/>
      <c r="H75" s="120"/>
      <c r="I75" s="120"/>
      <c r="J75" s="120"/>
      <c r="K75" s="120"/>
      <c r="AL75" s="249">
        <v>3</v>
      </c>
      <c r="AM75" s="248">
        <v>2</v>
      </c>
      <c r="AQ75" s="220" t="s">
        <v>399</v>
      </c>
      <c r="AR75" s="221" t="s">
        <v>154</v>
      </c>
      <c r="AS75" s="220" t="s">
        <v>280</v>
      </c>
      <c r="AT75" s="220">
        <v>7</v>
      </c>
    </row>
    <row r="76" spans="1:46" ht="16.5" customHeight="1" x14ac:dyDescent="0.25">
      <c r="A76" s="120">
        <v>75</v>
      </c>
      <c r="B76" s="120" t="e">
        <f>IF(#REF!="","",#REF!)</f>
        <v>#REF!</v>
      </c>
      <c r="C76" s="120" t="str">
        <f>IFERROR(VLOOKUP(B76,#REF!,5,FALSE),"")</f>
        <v/>
      </c>
      <c r="D76" s="223" t="str">
        <f>IFERROR(VLOOKUP(B76,#REF!,4,FALSE),"")</f>
        <v/>
      </c>
      <c r="E76" s="120">
        <v>75</v>
      </c>
      <c r="F76" s="224" t="e">
        <f t="shared" si="2"/>
        <v>#REF!</v>
      </c>
      <c r="G76" s="120"/>
      <c r="H76" s="120"/>
      <c r="I76" s="120"/>
      <c r="J76" s="120"/>
      <c r="K76" s="120"/>
      <c r="AL76" s="249">
        <v>4</v>
      </c>
      <c r="AM76" s="248">
        <v>2</v>
      </c>
      <c r="AQ76" s="220" t="s">
        <v>400</v>
      </c>
      <c r="AR76" s="220" t="s">
        <v>401</v>
      </c>
      <c r="AS76" s="220" t="s">
        <v>155</v>
      </c>
      <c r="AT76" s="220">
        <v>10</v>
      </c>
    </row>
    <row r="77" spans="1:46" ht="16.5" customHeight="1" x14ac:dyDescent="0.25">
      <c r="A77" s="120">
        <v>76</v>
      </c>
      <c r="B77" s="120" t="e">
        <f>IF(#REF!="","",#REF!)</f>
        <v>#REF!</v>
      </c>
      <c r="C77" s="120" t="str">
        <f>IFERROR(VLOOKUP(B77,#REF!,5,FALSE),"")</f>
        <v/>
      </c>
      <c r="D77" s="223" t="str">
        <f>IFERROR(VLOOKUP(B77,#REF!,4,FALSE),"")</f>
        <v/>
      </c>
      <c r="E77" s="120">
        <v>76</v>
      </c>
      <c r="F77" s="224" t="e">
        <f t="shared" si="2"/>
        <v>#REF!</v>
      </c>
      <c r="G77" s="120"/>
      <c r="H77" s="120"/>
      <c r="I77" s="120"/>
      <c r="J77" s="120"/>
      <c r="K77" s="120"/>
      <c r="AL77" s="249">
        <v>5</v>
      </c>
      <c r="AM77" s="248">
        <v>3</v>
      </c>
      <c r="AQ77" s="220" t="s">
        <v>402</v>
      </c>
      <c r="AR77" s="221" t="s">
        <v>403</v>
      </c>
      <c r="AS77" s="220" t="s">
        <v>166</v>
      </c>
      <c r="AT77" s="220">
        <v>0.5</v>
      </c>
    </row>
    <row r="78" spans="1:46" ht="16.5" customHeight="1" x14ac:dyDescent="0.25">
      <c r="A78" s="120">
        <v>77</v>
      </c>
      <c r="B78" s="120" t="e">
        <f>IF(#REF!="","",#REF!)</f>
        <v>#REF!</v>
      </c>
      <c r="C78" s="120" t="str">
        <f>IFERROR(VLOOKUP(B78,#REF!,5,FALSE),"")</f>
        <v/>
      </c>
      <c r="D78" s="223" t="str">
        <f>IFERROR(VLOOKUP(B78,#REF!,4,FALSE),"")</f>
        <v/>
      </c>
      <c r="E78" s="120">
        <v>77</v>
      </c>
      <c r="F78" s="224" t="e">
        <f t="shared" si="2"/>
        <v>#REF!</v>
      </c>
      <c r="G78" s="120"/>
      <c r="H78" s="120"/>
      <c r="I78" s="120"/>
      <c r="J78" s="120"/>
      <c r="K78" s="120"/>
      <c r="AL78" s="249">
        <v>6</v>
      </c>
      <c r="AM78" s="248">
        <v>3</v>
      </c>
      <c r="AQ78" s="220" t="s">
        <v>404</v>
      </c>
      <c r="AR78" s="221" t="s">
        <v>405</v>
      </c>
      <c r="AS78" s="220" t="s">
        <v>253</v>
      </c>
      <c r="AT78" s="220">
        <v>1</v>
      </c>
    </row>
    <row r="79" spans="1:46" ht="16.5" customHeight="1" x14ac:dyDescent="0.25">
      <c r="A79" s="120">
        <v>78</v>
      </c>
      <c r="B79" s="120" t="e">
        <f>IF(#REF!="","",#REF!)</f>
        <v>#REF!</v>
      </c>
      <c r="C79" s="120" t="str">
        <f>IFERROR(VLOOKUP(B79,#REF!,5,FALSE),"")</f>
        <v/>
      </c>
      <c r="D79" s="223" t="str">
        <f>IFERROR(VLOOKUP(B79,#REF!,4,FALSE),"")</f>
        <v/>
      </c>
      <c r="E79" s="120">
        <v>78</v>
      </c>
      <c r="F79" s="224" t="e">
        <f t="shared" si="2"/>
        <v>#REF!</v>
      </c>
      <c r="G79" s="120"/>
      <c r="H79" s="120"/>
      <c r="I79" s="120"/>
      <c r="J79" s="120"/>
      <c r="K79" s="120"/>
      <c r="AL79" s="249">
        <v>7</v>
      </c>
      <c r="AM79" s="248">
        <v>3</v>
      </c>
      <c r="AQ79" s="220" t="s">
        <v>406</v>
      </c>
      <c r="AR79" s="221" t="s">
        <v>407</v>
      </c>
      <c r="AS79" s="220" t="s">
        <v>170</v>
      </c>
      <c r="AT79" s="220">
        <v>1</v>
      </c>
    </row>
    <row r="80" spans="1:46" ht="16.5" customHeight="1" x14ac:dyDescent="0.25">
      <c r="A80" s="120">
        <v>79</v>
      </c>
      <c r="B80" s="120" t="e">
        <f>IF(#REF!="","",#REF!)</f>
        <v>#REF!</v>
      </c>
      <c r="C80" s="120" t="str">
        <f>IFERROR(VLOOKUP(B80,#REF!,5,FALSE),"")</f>
        <v/>
      </c>
      <c r="D80" s="223" t="str">
        <f>IFERROR(VLOOKUP(B80,#REF!,4,FALSE),"")</f>
        <v/>
      </c>
      <c r="E80" s="120">
        <v>79</v>
      </c>
      <c r="F80" s="224" t="e">
        <f t="shared" si="2"/>
        <v>#REF!</v>
      </c>
      <c r="G80" s="120"/>
      <c r="H80" s="120"/>
      <c r="I80" s="120"/>
      <c r="J80" s="120"/>
      <c r="K80" s="120"/>
      <c r="AL80" s="249">
        <v>8</v>
      </c>
      <c r="AM80" s="248">
        <v>3</v>
      </c>
      <c r="AQ80" s="220" t="s">
        <v>408</v>
      </c>
      <c r="AR80" s="221" t="s">
        <v>409</v>
      </c>
      <c r="AS80" s="220" t="s">
        <v>410</v>
      </c>
      <c r="AT80" s="220">
        <v>35</v>
      </c>
    </row>
    <row r="81" spans="1:46" ht="16.5" customHeight="1" x14ac:dyDescent="0.25">
      <c r="A81" s="120">
        <v>80</v>
      </c>
      <c r="B81" s="120" t="e">
        <f>IF(#REF!="","",#REF!)</f>
        <v>#REF!</v>
      </c>
      <c r="C81" s="120" t="str">
        <f>IFERROR(VLOOKUP(B81,#REF!,5,FALSE),"")</f>
        <v/>
      </c>
      <c r="D81" s="223" t="str">
        <f>IFERROR(VLOOKUP(B81,#REF!,4,FALSE),"")</f>
        <v/>
      </c>
      <c r="E81" s="120">
        <v>80</v>
      </c>
      <c r="F81" s="224" t="e">
        <f t="shared" si="2"/>
        <v>#REF!</v>
      </c>
      <c r="G81" s="120"/>
      <c r="H81" s="120"/>
      <c r="I81" s="120"/>
      <c r="J81" s="120"/>
      <c r="K81" s="120"/>
      <c r="AL81" s="249">
        <v>9</v>
      </c>
      <c r="AM81" s="248">
        <v>4</v>
      </c>
      <c r="AQ81" s="220" t="s">
        <v>411</v>
      </c>
      <c r="AR81" s="221" t="s">
        <v>412</v>
      </c>
      <c r="AS81" s="220" t="s">
        <v>253</v>
      </c>
      <c r="AT81" s="220">
        <v>2</v>
      </c>
    </row>
    <row r="82" spans="1:46" ht="16.5" customHeight="1" x14ac:dyDescent="0.25">
      <c r="A82" s="120">
        <v>81</v>
      </c>
      <c r="B82" s="120" t="e">
        <f>IF(#REF!="","",#REF!)</f>
        <v>#REF!</v>
      </c>
      <c r="C82" s="120" t="str">
        <f>IFERROR(VLOOKUP(B82,#REF!,5,FALSE),"")</f>
        <v/>
      </c>
      <c r="D82" s="223" t="str">
        <f>IFERROR(VLOOKUP(B82,#REF!,4,FALSE),"")</f>
        <v/>
      </c>
      <c r="E82" s="120">
        <v>81</v>
      </c>
      <c r="F82" s="224" t="e">
        <f t="shared" si="2"/>
        <v>#REF!</v>
      </c>
      <c r="G82" s="120"/>
      <c r="H82" s="120"/>
      <c r="I82" s="120"/>
      <c r="J82" s="120"/>
      <c r="K82" s="120"/>
      <c r="AL82" s="249">
        <v>10</v>
      </c>
      <c r="AM82" s="248">
        <v>4</v>
      </c>
      <c r="AQ82" s="220" t="s">
        <v>413</v>
      </c>
      <c r="AR82" s="221" t="s">
        <v>154</v>
      </c>
      <c r="AS82" s="220" t="s">
        <v>170</v>
      </c>
      <c r="AT82" s="220">
        <v>4</v>
      </c>
    </row>
    <row r="83" spans="1:46" ht="16.5" customHeight="1" x14ac:dyDescent="0.25">
      <c r="A83" s="120">
        <v>82</v>
      </c>
      <c r="B83" s="120" t="e">
        <f>IF(#REF!="","",#REF!)</f>
        <v>#REF!</v>
      </c>
      <c r="C83" s="120" t="str">
        <f>IFERROR(VLOOKUP(B83,#REF!,5,FALSE),"")</f>
        <v/>
      </c>
      <c r="D83" s="223" t="str">
        <f>IFERROR(VLOOKUP(B83,#REF!,4,FALSE),"")</f>
        <v/>
      </c>
      <c r="E83" s="120">
        <v>82</v>
      </c>
      <c r="F83" s="224" t="e">
        <f t="shared" si="2"/>
        <v>#REF!</v>
      </c>
      <c r="G83" s="120"/>
      <c r="H83" s="120"/>
      <c r="I83" s="120"/>
      <c r="J83" s="120"/>
      <c r="K83" s="120"/>
      <c r="AL83" s="249">
        <v>11</v>
      </c>
      <c r="AM83" s="248">
        <v>4</v>
      </c>
      <c r="AQ83" s="220" t="s">
        <v>414</v>
      </c>
      <c r="AR83" s="221" t="s">
        <v>415</v>
      </c>
      <c r="AS83" s="220" t="s">
        <v>170</v>
      </c>
      <c r="AT83" s="220">
        <v>10</v>
      </c>
    </row>
    <row r="84" spans="1:46" ht="16.5" customHeight="1" x14ac:dyDescent="0.25">
      <c r="A84" s="120">
        <v>83</v>
      </c>
      <c r="B84" s="120" t="e">
        <f>IF(#REF!="","",#REF!)</f>
        <v>#REF!</v>
      </c>
      <c r="C84" s="120" t="str">
        <f>IFERROR(VLOOKUP(B84,#REF!,5,FALSE),"")</f>
        <v/>
      </c>
      <c r="D84" s="223" t="str">
        <f>IFERROR(VLOOKUP(B84,#REF!,4,FALSE),"")</f>
        <v/>
      </c>
      <c r="E84" s="120">
        <v>83</v>
      </c>
      <c r="F84" s="224" t="e">
        <f t="shared" si="2"/>
        <v>#REF!</v>
      </c>
      <c r="G84" s="120"/>
      <c r="H84" s="120"/>
      <c r="I84" s="120"/>
      <c r="J84" s="120"/>
      <c r="K84" s="120"/>
      <c r="AL84" s="249">
        <v>12</v>
      </c>
      <c r="AM84" s="248">
        <v>4</v>
      </c>
      <c r="AQ84" s="220" t="s">
        <v>416</v>
      </c>
      <c r="AR84" s="221" t="s">
        <v>417</v>
      </c>
      <c r="AS84" s="220" t="s">
        <v>201</v>
      </c>
      <c r="AT84" s="220">
        <v>5</v>
      </c>
    </row>
    <row r="85" spans="1:46" ht="16.5" customHeight="1" x14ac:dyDescent="0.25">
      <c r="A85" s="120">
        <v>84</v>
      </c>
      <c r="B85" s="120" t="e">
        <f>IF(#REF!="","",#REF!)</f>
        <v>#REF!</v>
      </c>
      <c r="C85" s="120" t="str">
        <f>IFERROR(VLOOKUP(B85,#REF!,5,FALSE),"")</f>
        <v/>
      </c>
      <c r="D85" s="223" t="str">
        <f>IFERROR(VLOOKUP(B85,#REF!,4,FALSE),"")</f>
        <v/>
      </c>
      <c r="E85" s="120">
        <v>84</v>
      </c>
      <c r="F85" s="224" t="e">
        <f t="shared" si="2"/>
        <v>#REF!</v>
      </c>
      <c r="G85" s="120"/>
      <c r="H85" s="120"/>
      <c r="I85" s="120"/>
      <c r="J85" s="120"/>
      <c r="K85" s="120"/>
      <c r="AL85" s="249">
        <v>13</v>
      </c>
      <c r="AM85" s="248">
        <v>5</v>
      </c>
      <c r="AQ85" s="220" t="s">
        <v>418</v>
      </c>
      <c r="AR85" s="221" t="s">
        <v>419</v>
      </c>
      <c r="AS85" s="220" t="s">
        <v>291</v>
      </c>
      <c r="AT85" s="220">
        <v>0.5</v>
      </c>
    </row>
    <row r="86" spans="1:46" ht="16.5" customHeight="1" x14ac:dyDescent="0.25">
      <c r="A86" s="120">
        <v>85</v>
      </c>
      <c r="B86" s="120" t="e">
        <f>IF(#REF!="","",#REF!)</f>
        <v>#REF!</v>
      </c>
      <c r="C86" s="120" t="str">
        <f>IFERROR(VLOOKUP(B86,#REF!,5,FALSE),"")</f>
        <v/>
      </c>
      <c r="D86" s="223" t="str">
        <f>IFERROR(VLOOKUP(B86,#REF!,4,FALSE),"")</f>
        <v/>
      </c>
      <c r="E86" s="120">
        <v>85</v>
      </c>
      <c r="F86" s="224" t="e">
        <f t="shared" si="2"/>
        <v>#REF!</v>
      </c>
      <c r="G86" s="120"/>
      <c r="H86" s="120"/>
      <c r="I86" s="120"/>
      <c r="J86" s="120"/>
      <c r="K86" s="120"/>
      <c r="AL86" s="249">
        <v>14</v>
      </c>
      <c r="AM86" s="248">
        <v>5</v>
      </c>
      <c r="AQ86" s="220" t="s">
        <v>420</v>
      </c>
      <c r="AR86" s="221" t="s">
        <v>421</v>
      </c>
      <c r="AS86" s="220" t="s">
        <v>209</v>
      </c>
      <c r="AT86" s="220">
        <v>3</v>
      </c>
    </row>
    <row r="87" spans="1:46" ht="16.5" customHeight="1" x14ac:dyDescent="0.25">
      <c r="A87" s="120">
        <v>86</v>
      </c>
      <c r="B87" s="120" t="e">
        <f>IF(#REF!="","",#REF!)</f>
        <v>#REF!</v>
      </c>
      <c r="C87" s="120" t="str">
        <f>IFERROR(VLOOKUP(B87,#REF!,5,FALSE),"")</f>
        <v/>
      </c>
      <c r="D87" s="223" t="str">
        <f>IFERROR(VLOOKUP(B87,#REF!,4,FALSE),"")</f>
        <v/>
      </c>
      <c r="E87" s="120">
        <v>86</v>
      </c>
      <c r="F87" s="224" t="e">
        <f t="shared" si="2"/>
        <v>#REF!</v>
      </c>
      <c r="G87" s="120"/>
      <c r="H87" s="120"/>
      <c r="I87" s="120"/>
      <c r="J87" s="120"/>
      <c r="K87" s="120"/>
      <c r="AL87" s="249">
        <v>15</v>
      </c>
      <c r="AM87" s="248">
        <v>5</v>
      </c>
      <c r="AQ87" s="220" t="s">
        <v>422</v>
      </c>
      <c r="AR87" s="221" t="s">
        <v>154</v>
      </c>
      <c r="AS87" s="220" t="s">
        <v>253</v>
      </c>
      <c r="AT87" s="220">
        <v>0</v>
      </c>
    </row>
    <row r="88" spans="1:46" ht="16.5" customHeight="1" x14ac:dyDescent="0.25">
      <c r="A88" s="120">
        <v>87</v>
      </c>
      <c r="B88" s="120" t="e">
        <f>IF(#REF!="","",#REF!)</f>
        <v>#REF!</v>
      </c>
      <c r="C88" s="120" t="str">
        <f>IFERROR(VLOOKUP(B88,#REF!,5,FALSE),"")</f>
        <v/>
      </c>
      <c r="D88" s="223" t="str">
        <f>IFERROR(VLOOKUP(B88,#REF!,4,FALSE),"")</f>
        <v/>
      </c>
      <c r="E88" s="120">
        <v>87</v>
      </c>
      <c r="F88" s="224" t="e">
        <f t="shared" si="2"/>
        <v>#REF!</v>
      </c>
      <c r="G88" s="120"/>
      <c r="H88" s="120"/>
      <c r="I88" s="120"/>
      <c r="J88" s="120"/>
      <c r="K88" s="120"/>
      <c r="AL88" s="249">
        <v>16</v>
      </c>
      <c r="AM88" s="248">
        <v>5</v>
      </c>
      <c r="AQ88" s="220" t="s">
        <v>423</v>
      </c>
      <c r="AR88" s="221" t="s">
        <v>154</v>
      </c>
      <c r="AS88" s="220" t="s">
        <v>155</v>
      </c>
      <c r="AT88" s="220">
        <v>5</v>
      </c>
    </row>
    <row r="89" spans="1:46" ht="16.5" customHeight="1" x14ac:dyDescent="0.25">
      <c r="A89" s="120">
        <v>88</v>
      </c>
      <c r="B89" s="120" t="e">
        <f>IF(#REF!="","",#REF!)</f>
        <v>#REF!</v>
      </c>
      <c r="C89" s="120" t="str">
        <f>IFERROR(VLOOKUP(B89,#REF!,5,FALSE),"")</f>
        <v/>
      </c>
      <c r="D89" s="223" t="str">
        <f>IFERROR(VLOOKUP(B89,#REF!,4,FALSE),"")</f>
        <v/>
      </c>
      <c r="E89" s="120">
        <v>88</v>
      </c>
      <c r="F89" s="224" t="e">
        <f t="shared" si="2"/>
        <v>#REF!</v>
      </c>
      <c r="G89" s="120"/>
      <c r="H89" s="120"/>
      <c r="I89" s="120"/>
      <c r="J89" s="120"/>
      <c r="K89" s="120"/>
      <c r="AL89" s="249">
        <v>17</v>
      </c>
      <c r="AM89" s="248">
        <v>6</v>
      </c>
      <c r="AQ89" s="220" t="s">
        <v>424</v>
      </c>
      <c r="AR89" s="221" t="s">
        <v>154</v>
      </c>
      <c r="AS89" s="220" t="s">
        <v>280</v>
      </c>
      <c r="AT89" s="220">
        <v>0</v>
      </c>
    </row>
    <row r="90" spans="1:46" ht="16.5" customHeight="1" x14ac:dyDescent="0.25">
      <c r="A90" s="120">
        <v>89</v>
      </c>
      <c r="B90" s="120" t="e">
        <f>IF(#REF!="","",#REF!)</f>
        <v>#REF!</v>
      </c>
      <c r="C90" s="120" t="str">
        <f>IFERROR(VLOOKUP(B90,#REF!,5,FALSE),"")</f>
        <v/>
      </c>
      <c r="D90" s="223" t="str">
        <f>IFERROR(VLOOKUP(B90,#REF!,4,FALSE),"")</f>
        <v/>
      </c>
      <c r="E90" s="120">
        <v>89</v>
      </c>
      <c r="F90" s="224" t="e">
        <f t="shared" si="2"/>
        <v>#REF!</v>
      </c>
      <c r="G90" s="120"/>
      <c r="H90" s="120"/>
      <c r="I90" s="120"/>
      <c r="J90" s="120"/>
      <c r="K90" s="120"/>
      <c r="AL90" s="249">
        <v>18</v>
      </c>
      <c r="AM90" s="248">
        <v>6</v>
      </c>
      <c r="AQ90" s="220" t="s">
        <v>425</v>
      </c>
      <c r="AR90" s="221" t="s">
        <v>154</v>
      </c>
      <c r="AS90" s="220" t="s">
        <v>209</v>
      </c>
      <c r="AT90" s="220">
        <v>0</v>
      </c>
    </row>
    <row r="91" spans="1:46" ht="16.5" customHeight="1" x14ac:dyDescent="0.25">
      <c r="A91" s="120">
        <v>90</v>
      </c>
      <c r="B91" s="120" t="e">
        <f>IF(#REF!="","",#REF!)</f>
        <v>#REF!</v>
      </c>
      <c r="C91" s="120" t="str">
        <f>IFERROR(VLOOKUP(B91,#REF!,5,FALSE),"")</f>
        <v/>
      </c>
      <c r="D91" s="223" t="str">
        <f>IFERROR(VLOOKUP(B91,#REF!,4,FALSE),"")</f>
        <v/>
      </c>
      <c r="E91" s="120">
        <v>90</v>
      </c>
      <c r="F91" s="224" t="e">
        <f t="shared" si="2"/>
        <v>#REF!</v>
      </c>
      <c r="G91" s="120"/>
      <c r="H91" s="120"/>
      <c r="I91" s="120"/>
      <c r="J91" s="120"/>
      <c r="K91" s="120"/>
      <c r="AL91" s="249">
        <v>19</v>
      </c>
      <c r="AM91" s="248">
        <v>6</v>
      </c>
      <c r="AQ91" s="220" t="s">
        <v>426</v>
      </c>
      <c r="AR91" s="221" t="s">
        <v>154</v>
      </c>
      <c r="AS91" s="220" t="s">
        <v>348</v>
      </c>
      <c r="AT91" s="220">
        <v>0</v>
      </c>
    </row>
    <row r="92" spans="1:46" ht="16.5" customHeight="1" x14ac:dyDescent="0.25">
      <c r="A92" s="120">
        <v>91</v>
      </c>
      <c r="B92" s="120" t="e">
        <f>IF(#REF!="","",#REF!)</f>
        <v>#REF!</v>
      </c>
      <c r="C92" s="120" t="str">
        <f>IFERROR(VLOOKUP(B92,#REF!,5,FALSE),"")</f>
        <v/>
      </c>
      <c r="D92" s="223" t="str">
        <f>IFERROR(VLOOKUP(B92,#REF!,4,FALSE),"")</f>
        <v/>
      </c>
      <c r="E92" s="120">
        <v>91</v>
      </c>
      <c r="F92" s="224" t="e">
        <f t="shared" si="2"/>
        <v>#REF!</v>
      </c>
      <c r="G92" s="120"/>
      <c r="H92" s="120"/>
      <c r="I92" s="120"/>
      <c r="J92" s="120"/>
      <c r="K92" s="120"/>
      <c r="AL92" s="249">
        <v>20</v>
      </c>
      <c r="AM92" s="248">
        <v>6</v>
      </c>
      <c r="AQ92" s="220" t="s">
        <v>144</v>
      </c>
      <c r="AR92" s="221" t="s">
        <v>427</v>
      </c>
      <c r="AS92" s="220" t="s">
        <v>166</v>
      </c>
      <c r="AT92" s="220">
        <v>3</v>
      </c>
    </row>
    <row r="93" spans="1:46" ht="16.5" customHeight="1" x14ac:dyDescent="0.25">
      <c r="A93" s="120">
        <v>92</v>
      </c>
      <c r="B93" s="120" t="e">
        <f>IF(#REF!="","",#REF!)</f>
        <v>#REF!</v>
      </c>
      <c r="C93" s="120" t="str">
        <f>IFERROR(VLOOKUP(B93,#REF!,5,FALSE),"")</f>
        <v/>
      </c>
      <c r="D93" s="223" t="str">
        <f>IFERROR(VLOOKUP(B93,#REF!,4,FALSE),"")</f>
        <v/>
      </c>
      <c r="E93" s="120">
        <v>92</v>
      </c>
      <c r="F93" s="224" t="e">
        <f t="shared" si="2"/>
        <v>#REF!</v>
      </c>
      <c r="G93" s="120"/>
      <c r="H93" s="120"/>
      <c r="I93" s="120"/>
      <c r="J93" s="120"/>
      <c r="K93" s="120"/>
      <c r="AL93" s="249">
        <v>21</v>
      </c>
      <c r="AM93" s="248">
        <v>7</v>
      </c>
      <c r="AQ93" s="220" t="s">
        <v>428</v>
      </c>
      <c r="AR93" s="221" t="s">
        <v>154</v>
      </c>
      <c r="AS93" s="220" t="s">
        <v>170</v>
      </c>
      <c r="AT93" s="220">
        <v>5</v>
      </c>
    </row>
    <row r="94" spans="1:46" ht="16.5" customHeight="1" x14ac:dyDescent="0.25">
      <c r="A94" s="120">
        <v>93</v>
      </c>
      <c r="B94" s="120" t="e">
        <f>IF(#REF!="","",#REF!)</f>
        <v>#REF!</v>
      </c>
      <c r="C94" s="120" t="str">
        <f>IFERROR(VLOOKUP(B94,#REF!,5,FALSE),"")</f>
        <v/>
      </c>
      <c r="D94" s="223" t="str">
        <f>IFERROR(VLOOKUP(B94,#REF!,4,FALSE),"")</f>
        <v/>
      </c>
      <c r="E94" s="120">
        <v>93</v>
      </c>
      <c r="F94" s="224" t="e">
        <f t="shared" si="2"/>
        <v>#REF!</v>
      </c>
      <c r="G94" s="120"/>
      <c r="H94" s="120"/>
      <c r="I94" s="120"/>
      <c r="J94" s="120"/>
      <c r="K94" s="120"/>
      <c r="AL94" s="249">
        <v>22</v>
      </c>
      <c r="AM94" s="248">
        <v>7</v>
      </c>
      <c r="AQ94" s="220" t="s">
        <v>429</v>
      </c>
      <c r="AR94" s="221" t="s">
        <v>430</v>
      </c>
      <c r="AS94" s="220" t="s">
        <v>431</v>
      </c>
      <c r="AT94" s="220">
        <v>1</v>
      </c>
    </row>
    <row r="95" spans="1:46" ht="16.5" customHeight="1" x14ac:dyDescent="0.25">
      <c r="A95" s="120">
        <v>94</v>
      </c>
      <c r="B95" s="120" t="e">
        <f>IF(#REF!="","",#REF!)</f>
        <v>#REF!</v>
      </c>
      <c r="C95" s="120" t="str">
        <f>IFERROR(VLOOKUP(B95,#REF!,5,FALSE),"")</f>
        <v/>
      </c>
      <c r="D95" s="223" t="str">
        <f>IFERROR(VLOOKUP(B95,#REF!,4,FALSE),"")</f>
        <v/>
      </c>
      <c r="E95" s="120">
        <v>94</v>
      </c>
      <c r="F95" s="224" t="e">
        <f t="shared" si="2"/>
        <v>#REF!</v>
      </c>
      <c r="G95" s="120"/>
      <c r="H95" s="120"/>
      <c r="I95" s="120"/>
      <c r="J95" s="120"/>
      <c r="K95" s="120"/>
      <c r="AL95" s="249">
        <v>23</v>
      </c>
      <c r="AM95" s="248">
        <v>7</v>
      </c>
      <c r="AQ95" s="220" t="s">
        <v>432</v>
      </c>
      <c r="AR95" s="221" t="s">
        <v>433</v>
      </c>
      <c r="AS95" s="220" t="s">
        <v>155</v>
      </c>
      <c r="AT95" s="220">
        <v>20</v>
      </c>
    </row>
    <row r="96" spans="1:46" ht="16.5" customHeight="1" x14ac:dyDescent="0.25">
      <c r="A96" s="120">
        <v>95</v>
      </c>
      <c r="B96" s="120" t="e">
        <f>IF(#REF!="","",#REF!)</f>
        <v>#REF!</v>
      </c>
      <c r="C96" s="120" t="str">
        <f>IFERROR(VLOOKUP(B96,#REF!,5,FALSE),"")</f>
        <v/>
      </c>
      <c r="D96" s="223" t="str">
        <f>IFERROR(VLOOKUP(B96,#REF!,4,FALSE),"")</f>
        <v/>
      </c>
      <c r="E96" s="120">
        <v>95</v>
      </c>
      <c r="F96" s="224" t="e">
        <f t="shared" si="2"/>
        <v>#REF!</v>
      </c>
      <c r="G96" s="120"/>
      <c r="H96" s="120"/>
      <c r="I96" s="120"/>
      <c r="J96" s="120"/>
      <c r="K96" s="120"/>
      <c r="AL96" s="249">
        <v>24</v>
      </c>
      <c r="AM96" s="248">
        <v>7</v>
      </c>
      <c r="AQ96" s="220" t="s">
        <v>434</v>
      </c>
      <c r="AR96" s="221" t="s">
        <v>435</v>
      </c>
      <c r="AS96" s="220" t="s">
        <v>253</v>
      </c>
      <c r="AT96" s="220">
        <v>1</v>
      </c>
    </row>
    <row r="97" spans="1:46" ht="16.5" customHeight="1" x14ac:dyDescent="0.25">
      <c r="A97" s="120">
        <v>96</v>
      </c>
      <c r="B97" s="120" t="e">
        <f>IF(#REF!="","",#REF!)</f>
        <v>#REF!</v>
      </c>
      <c r="C97" s="120" t="str">
        <f>IFERROR(VLOOKUP(B97,#REF!,5,FALSE),"")</f>
        <v/>
      </c>
      <c r="D97" s="223" t="str">
        <f>IFERROR(VLOOKUP(B97,#REF!,4,FALSE),"")</f>
        <v/>
      </c>
      <c r="E97" s="120">
        <v>96</v>
      </c>
      <c r="F97" s="224" t="e">
        <f t="shared" si="2"/>
        <v>#REF!</v>
      </c>
      <c r="G97" s="120"/>
      <c r="H97" s="120"/>
      <c r="I97" s="120"/>
      <c r="J97" s="120"/>
      <c r="K97" s="120"/>
      <c r="AL97" s="249">
        <v>25</v>
      </c>
      <c r="AM97" s="248">
        <v>8</v>
      </c>
      <c r="AQ97" s="220" t="s">
        <v>436</v>
      </c>
      <c r="AR97" s="221" t="s">
        <v>437</v>
      </c>
      <c r="AS97" s="220" t="s">
        <v>291</v>
      </c>
      <c r="AT97" s="220">
        <v>1</v>
      </c>
    </row>
    <row r="98" spans="1:46" ht="16.5" customHeight="1" x14ac:dyDescent="0.25">
      <c r="A98" s="120">
        <v>97</v>
      </c>
      <c r="B98" s="120" t="e">
        <f>IF(#REF!="","",#REF!)</f>
        <v>#REF!</v>
      </c>
      <c r="C98" s="120" t="str">
        <f>IFERROR(VLOOKUP(B98,#REF!,5,FALSE),"")</f>
        <v/>
      </c>
      <c r="D98" s="223" t="str">
        <f>IFERROR(VLOOKUP(B98,#REF!,4,FALSE),"")</f>
        <v/>
      </c>
      <c r="E98" s="120">
        <v>97</v>
      </c>
      <c r="F98" s="224" t="e">
        <f t="shared" si="2"/>
        <v>#REF!</v>
      </c>
      <c r="G98" s="120"/>
      <c r="H98" s="120"/>
      <c r="I98" s="120"/>
      <c r="J98" s="120"/>
      <c r="K98" s="120"/>
      <c r="AL98" s="249">
        <v>26</v>
      </c>
      <c r="AM98" s="248">
        <v>8</v>
      </c>
      <c r="AQ98" s="220" t="s">
        <v>438</v>
      </c>
      <c r="AR98" s="221" t="s">
        <v>439</v>
      </c>
      <c r="AS98" s="220" t="s">
        <v>170</v>
      </c>
      <c r="AT98" s="220">
        <v>0</v>
      </c>
    </row>
    <row r="99" spans="1:46" ht="16.5" customHeight="1" x14ac:dyDescent="0.25">
      <c r="A99" s="120">
        <v>98</v>
      </c>
      <c r="B99" s="120" t="e">
        <f>IF(#REF!="","",#REF!)</f>
        <v>#REF!</v>
      </c>
      <c r="C99" s="120" t="str">
        <f>IFERROR(VLOOKUP(B99,#REF!,5,FALSE),"")</f>
        <v/>
      </c>
      <c r="D99" s="223" t="str">
        <f>IFERROR(VLOOKUP(B99,#REF!,4,FALSE),"")</f>
        <v/>
      </c>
      <c r="E99" s="120">
        <v>98</v>
      </c>
      <c r="F99" s="224" t="e">
        <f t="shared" si="2"/>
        <v>#REF!</v>
      </c>
      <c r="G99" s="120"/>
      <c r="H99" s="120"/>
      <c r="I99" s="120"/>
      <c r="J99" s="120"/>
      <c r="K99" s="120"/>
      <c r="AL99" s="249">
        <v>27</v>
      </c>
      <c r="AM99" s="248">
        <v>8</v>
      </c>
      <c r="AQ99" s="220" t="s">
        <v>440</v>
      </c>
      <c r="AR99" s="221" t="s">
        <v>441</v>
      </c>
      <c r="AS99" s="220" t="s">
        <v>384</v>
      </c>
      <c r="AT99" s="220">
        <v>5</v>
      </c>
    </row>
    <row r="100" spans="1:46" ht="16.5" customHeight="1" x14ac:dyDescent="0.25">
      <c r="A100" s="120">
        <v>99</v>
      </c>
      <c r="B100" s="120" t="e">
        <f>IF(#REF!="","",#REF!)</f>
        <v>#REF!</v>
      </c>
      <c r="C100" s="120" t="str">
        <f>IFERROR(VLOOKUP(B100,#REF!,5,FALSE),"")</f>
        <v/>
      </c>
      <c r="D100" s="223" t="str">
        <f>IFERROR(VLOOKUP(B100,#REF!,4,FALSE),"")</f>
        <v/>
      </c>
      <c r="E100" s="120">
        <v>99</v>
      </c>
      <c r="F100" s="224" t="e">
        <f t="shared" si="2"/>
        <v>#REF!</v>
      </c>
      <c r="G100" s="120"/>
      <c r="H100" s="120"/>
      <c r="I100" s="120"/>
      <c r="J100" s="120"/>
      <c r="K100" s="120"/>
      <c r="AL100" s="249">
        <v>28</v>
      </c>
      <c r="AM100" s="248">
        <v>8</v>
      </c>
      <c r="AQ100" s="220" t="s">
        <v>442</v>
      </c>
      <c r="AR100" s="221" t="s">
        <v>154</v>
      </c>
      <c r="AS100" s="220" t="s">
        <v>291</v>
      </c>
      <c r="AT100" s="220">
        <v>1</v>
      </c>
    </row>
    <row r="101" spans="1:46" ht="16.5" customHeight="1" x14ac:dyDescent="0.25">
      <c r="A101" s="120">
        <v>100</v>
      </c>
      <c r="B101" s="120" t="e">
        <f>IF(#REF!="","",#REF!)</f>
        <v>#REF!</v>
      </c>
      <c r="C101" s="120" t="str">
        <f>IFERROR(VLOOKUP(B101,#REF!,5,FALSE),"")</f>
        <v/>
      </c>
      <c r="D101" s="223" t="str">
        <f>IFERROR(VLOOKUP(B101,#REF!,4,FALSE),"")</f>
        <v/>
      </c>
      <c r="E101" s="120">
        <v>100</v>
      </c>
      <c r="F101" s="224" t="e">
        <f t="shared" si="2"/>
        <v>#REF!</v>
      </c>
      <c r="G101" s="120"/>
      <c r="H101" s="120"/>
      <c r="I101" s="120"/>
      <c r="J101" s="120"/>
      <c r="K101" s="120"/>
      <c r="AL101" s="249">
        <v>29</v>
      </c>
      <c r="AM101" s="248">
        <v>9</v>
      </c>
      <c r="AQ101" s="220" t="s">
        <v>443</v>
      </c>
      <c r="AR101" s="246" t="s">
        <v>444</v>
      </c>
      <c r="AS101" s="220" t="s">
        <v>166</v>
      </c>
      <c r="AT101" s="220">
        <v>8</v>
      </c>
    </row>
    <row r="102" spans="1:46" ht="16.5" customHeight="1" x14ac:dyDescent="0.25">
      <c r="A102" s="120">
        <v>101</v>
      </c>
      <c r="B102" s="120" t="e">
        <f>IF(#REF!="","",#REF!)</f>
        <v>#REF!</v>
      </c>
      <c r="C102" s="120" t="str">
        <f>IFERROR(VLOOKUP(B102,#REF!,5,FALSE),"")</f>
        <v/>
      </c>
      <c r="D102" s="223" t="str">
        <f>IFERROR(VLOOKUP(B102,#REF!,4,FALSE),"")</f>
        <v/>
      </c>
      <c r="E102" s="120">
        <v>101</v>
      </c>
      <c r="F102" s="224" t="e">
        <f t="shared" ref="F102:F133" si="3">B102</f>
        <v>#REF!</v>
      </c>
      <c r="G102" s="120"/>
      <c r="H102" s="120"/>
      <c r="I102" s="120"/>
      <c r="J102" s="120"/>
      <c r="K102" s="120"/>
      <c r="AL102" s="250">
        <v>30</v>
      </c>
      <c r="AM102" s="218">
        <v>9</v>
      </c>
      <c r="AQ102" s="220" t="s">
        <v>445</v>
      </c>
      <c r="AR102" s="246" t="s">
        <v>446</v>
      </c>
      <c r="AS102" s="220" t="s">
        <v>204</v>
      </c>
      <c r="AT102" s="220">
        <v>9</v>
      </c>
    </row>
    <row r="103" spans="1:46" ht="16.5" customHeight="1" x14ac:dyDescent="0.25">
      <c r="A103" s="120">
        <v>102</v>
      </c>
      <c r="B103" s="120" t="e">
        <f>IF(#REF!="","",#REF!)</f>
        <v>#REF!</v>
      </c>
      <c r="C103" s="120" t="str">
        <f>IFERROR(VLOOKUP(B103,#REF!,5,FALSE),"")</f>
        <v/>
      </c>
      <c r="D103" s="223" t="str">
        <f>IFERROR(VLOOKUP(B103,#REF!,4,FALSE),"")</f>
        <v/>
      </c>
      <c r="E103" s="120">
        <v>102</v>
      </c>
      <c r="F103" s="224" t="e">
        <f t="shared" si="3"/>
        <v>#REF!</v>
      </c>
      <c r="G103" s="120"/>
      <c r="H103" s="120"/>
      <c r="I103" s="120"/>
      <c r="J103" s="120"/>
      <c r="K103" s="120"/>
      <c r="AQ103" s="220" t="s">
        <v>447</v>
      </c>
      <c r="AR103" s="246" t="s">
        <v>448</v>
      </c>
      <c r="AS103" s="220" t="s">
        <v>201</v>
      </c>
      <c r="AT103" s="220">
        <v>5</v>
      </c>
    </row>
    <row r="104" spans="1:46" ht="16.5" customHeight="1" x14ac:dyDescent="0.25">
      <c r="A104" s="120">
        <v>103</v>
      </c>
      <c r="B104" s="120" t="e">
        <f>IF(#REF!="","",#REF!)</f>
        <v>#REF!</v>
      </c>
      <c r="C104" s="120" t="str">
        <f>IFERROR(VLOOKUP(B104,#REF!,5,FALSE),"")</f>
        <v/>
      </c>
      <c r="D104" s="223" t="str">
        <f>IFERROR(VLOOKUP(B104,#REF!,4,FALSE),"")</f>
        <v/>
      </c>
      <c r="E104" s="120">
        <v>103</v>
      </c>
      <c r="F104" s="224" t="e">
        <f t="shared" si="3"/>
        <v>#REF!</v>
      </c>
      <c r="G104" s="120"/>
      <c r="H104" s="120"/>
      <c r="I104" s="120"/>
      <c r="J104" s="120"/>
      <c r="K104" s="120"/>
      <c r="AQ104" s="220" t="s">
        <v>449</v>
      </c>
      <c r="AR104" s="246" t="s">
        <v>450</v>
      </c>
      <c r="AS104" s="220" t="s">
        <v>451</v>
      </c>
      <c r="AT104" s="220">
        <v>6</v>
      </c>
    </row>
    <row r="105" spans="1:46" ht="16.5" customHeight="1" x14ac:dyDescent="0.25">
      <c r="A105" s="120">
        <v>104</v>
      </c>
      <c r="B105" s="120" t="e">
        <f>IF(#REF!="","",#REF!)</f>
        <v>#REF!</v>
      </c>
      <c r="C105" s="120" t="str">
        <f>IFERROR(VLOOKUP(B105,#REF!,5,FALSE),"")</f>
        <v/>
      </c>
      <c r="D105" s="223" t="str">
        <f>IFERROR(VLOOKUP(B105,#REF!,4,FALSE),"")</f>
        <v/>
      </c>
      <c r="E105" s="120">
        <v>104</v>
      </c>
      <c r="F105" s="224" t="e">
        <f t="shared" si="3"/>
        <v>#REF!</v>
      </c>
      <c r="G105" s="120"/>
      <c r="H105" s="120"/>
      <c r="I105" s="120"/>
      <c r="J105" s="120"/>
      <c r="K105" s="120"/>
      <c r="AQ105" s="220" t="s">
        <v>452</v>
      </c>
      <c r="AR105" s="246" t="s">
        <v>453</v>
      </c>
      <c r="AS105" s="220" t="s">
        <v>325</v>
      </c>
      <c r="AT105" s="220">
        <v>6</v>
      </c>
    </row>
    <row r="106" spans="1:46" ht="16.5" customHeight="1" x14ac:dyDescent="0.25">
      <c r="A106" s="120">
        <v>105</v>
      </c>
      <c r="B106" s="120" t="e">
        <f>IF(#REF!="","",#REF!)</f>
        <v>#REF!</v>
      </c>
      <c r="C106" s="120" t="str">
        <f>IFERROR(VLOOKUP(B106,#REF!,5,FALSE),"")</f>
        <v/>
      </c>
      <c r="D106" s="223" t="str">
        <f>IFERROR(VLOOKUP(B106,#REF!,4,FALSE),"")</f>
        <v/>
      </c>
      <c r="E106" s="120">
        <v>105</v>
      </c>
      <c r="F106" s="224" t="e">
        <f t="shared" si="3"/>
        <v>#REF!</v>
      </c>
      <c r="G106" s="120"/>
      <c r="H106" s="120"/>
      <c r="I106" s="120"/>
      <c r="J106" s="120"/>
      <c r="K106" s="120"/>
      <c r="AQ106" s="220" t="s">
        <v>454</v>
      </c>
      <c r="AR106" s="246" t="s">
        <v>455</v>
      </c>
      <c r="AS106" s="220" t="s">
        <v>209</v>
      </c>
      <c r="AT106" s="220">
        <v>5</v>
      </c>
    </row>
    <row r="107" spans="1:46" ht="16.5" customHeight="1" x14ac:dyDescent="0.25">
      <c r="A107" s="120">
        <v>106</v>
      </c>
      <c r="B107" s="120" t="e">
        <f>IF(#REF!="","",#REF!)</f>
        <v>#REF!</v>
      </c>
      <c r="C107" s="120" t="str">
        <f>IFERROR(VLOOKUP(B107,#REF!,5,FALSE),"")</f>
        <v/>
      </c>
      <c r="D107" s="223" t="str">
        <f>IFERROR(VLOOKUP(B107,#REF!,4,FALSE),"")</f>
        <v/>
      </c>
      <c r="E107" s="120">
        <v>106</v>
      </c>
      <c r="F107" s="224" t="e">
        <f t="shared" si="3"/>
        <v>#REF!</v>
      </c>
      <c r="G107" s="120"/>
      <c r="H107" s="120"/>
      <c r="I107" s="120"/>
      <c r="J107" s="120"/>
      <c r="K107" s="120"/>
      <c r="AQ107" s="220" t="s">
        <v>456</v>
      </c>
      <c r="AR107" s="246" t="s">
        <v>457</v>
      </c>
      <c r="AS107" s="220" t="s">
        <v>170</v>
      </c>
      <c r="AT107" s="220">
        <v>8</v>
      </c>
    </row>
    <row r="108" spans="1:46" ht="16.5" customHeight="1" x14ac:dyDescent="0.25">
      <c r="A108" s="120">
        <v>107</v>
      </c>
      <c r="B108" s="120" t="e">
        <f>IF(#REF!="","",#REF!)</f>
        <v>#REF!</v>
      </c>
      <c r="C108" s="120" t="str">
        <f>IFERROR(VLOOKUP(B108,#REF!,5,FALSE),"")</f>
        <v/>
      </c>
      <c r="D108" s="223" t="str">
        <f>IFERROR(VLOOKUP(B108,#REF!,4,FALSE),"")</f>
        <v/>
      </c>
      <c r="E108" s="120">
        <v>107</v>
      </c>
      <c r="F108" s="224" t="e">
        <f t="shared" si="3"/>
        <v>#REF!</v>
      </c>
      <c r="G108" s="120"/>
      <c r="H108" s="120"/>
      <c r="I108" s="120"/>
      <c r="J108" s="120"/>
      <c r="K108" s="120"/>
      <c r="AQ108" s="220" t="s">
        <v>458</v>
      </c>
      <c r="AR108" s="246" t="s">
        <v>459</v>
      </c>
      <c r="AS108" s="220" t="s">
        <v>460</v>
      </c>
      <c r="AT108" s="220">
        <v>5</v>
      </c>
    </row>
    <row r="109" spans="1:46" ht="16.5" customHeight="1" x14ac:dyDescent="0.25">
      <c r="A109" s="120">
        <v>108</v>
      </c>
      <c r="B109" s="120" t="e">
        <f>IF(#REF!="","",#REF!)</f>
        <v>#REF!</v>
      </c>
      <c r="C109" s="120" t="str">
        <f>IFERROR(VLOOKUP(B109,#REF!,5,FALSE),"")</f>
        <v/>
      </c>
      <c r="D109" s="223" t="str">
        <f>IFERROR(VLOOKUP(B109,#REF!,4,FALSE),"")</f>
        <v/>
      </c>
      <c r="E109" s="120">
        <v>108</v>
      </c>
      <c r="F109" s="224" t="e">
        <f t="shared" si="3"/>
        <v>#REF!</v>
      </c>
      <c r="G109" s="120"/>
      <c r="H109" s="120"/>
      <c r="I109" s="120"/>
      <c r="J109" s="120"/>
      <c r="K109" s="120"/>
      <c r="AQ109" s="220" t="s">
        <v>461</v>
      </c>
      <c r="AR109" s="246" t="s">
        <v>462</v>
      </c>
      <c r="AS109" s="220" t="s">
        <v>161</v>
      </c>
      <c r="AT109" s="220">
        <v>2</v>
      </c>
    </row>
    <row r="110" spans="1:46" ht="16.5" customHeight="1" x14ac:dyDescent="0.25">
      <c r="A110" s="120">
        <v>109</v>
      </c>
      <c r="B110" s="120" t="e">
        <f>IF(#REF!="","",#REF!)</f>
        <v>#REF!</v>
      </c>
      <c r="C110" s="120" t="str">
        <f>IFERROR(VLOOKUP(B110,#REF!,5,FALSE),"")</f>
        <v/>
      </c>
      <c r="D110" s="223" t="str">
        <f>IFERROR(VLOOKUP(B110,#REF!,4,FALSE),"")</f>
        <v/>
      </c>
      <c r="E110" s="120">
        <v>109</v>
      </c>
      <c r="F110" s="224" t="e">
        <f t="shared" si="3"/>
        <v>#REF!</v>
      </c>
      <c r="G110" s="120"/>
      <c r="H110" s="120"/>
      <c r="I110" s="120"/>
      <c r="J110" s="120"/>
      <c r="K110" s="120"/>
      <c r="AQ110" s="220" t="s">
        <v>463</v>
      </c>
      <c r="AR110" s="246" t="s">
        <v>464</v>
      </c>
      <c r="AS110" s="220" t="s">
        <v>209</v>
      </c>
      <c r="AT110" s="220">
        <v>5</v>
      </c>
    </row>
    <row r="111" spans="1:46" ht="16.5" customHeight="1" x14ac:dyDescent="0.25">
      <c r="A111" s="120">
        <v>110</v>
      </c>
      <c r="B111" s="120" t="e">
        <f>IF(#REF!="","",#REF!)</f>
        <v>#REF!</v>
      </c>
      <c r="C111" s="120" t="str">
        <f>IFERROR(VLOOKUP(B111,#REF!,5,FALSE),"")</f>
        <v/>
      </c>
      <c r="D111" s="223" t="str">
        <f>IFERROR(VLOOKUP(B111,#REF!,4,FALSE),"")</f>
        <v/>
      </c>
      <c r="E111" s="120">
        <v>110</v>
      </c>
      <c r="F111" s="224" t="e">
        <f t="shared" si="3"/>
        <v>#REF!</v>
      </c>
      <c r="G111" s="120"/>
      <c r="H111" s="120"/>
      <c r="I111" s="120"/>
      <c r="J111" s="120"/>
      <c r="K111" s="120"/>
      <c r="AQ111" s="220" t="s">
        <v>465</v>
      </c>
      <c r="AR111" s="246" t="s">
        <v>466</v>
      </c>
      <c r="AS111" s="220" t="s">
        <v>201</v>
      </c>
      <c r="AT111" s="220">
        <v>8</v>
      </c>
    </row>
    <row r="112" spans="1:46" ht="16.5" customHeight="1" x14ac:dyDescent="0.25">
      <c r="A112" s="120">
        <v>111</v>
      </c>
      <c r="B112" s="120" t="e">
        <f>IF(#REF!="","",#REF!)</f>
        <v>#REF!</v>
      </c>
      <c r="C112" s="120" t="str">
        <f>IFERROR(VLOOKUP(B112,#REF!,5,FALSE),"")</f>
        <v/>
      </c>
      <c r="D112" s="223" t="str">
        <f>IFERROR(VLOOKUP(B112,#REF!,4,FALSE),"")</f>
        <v/>
      </c>
      <c r="E112" s="120">
        <v>111</v>
      </c>
      <c r="F112" s="224" t="e">
        <f t="shared" si="3"/>
        <v>#REF!</v>
      </c>
      <c r="G112" s="120"/>
      <c r="H112" s="120"/>
      <c r="I112" s="120"/>
      <c r="J112" s="120"/>
      <c r="K112" s="120"/>
      <c r="AQ112" s="220" t="s">
        <v>467</v>
      </c>
      <c r="AR112" s="246" t="s">
        <v>468</v>
      </c>
      <c r="AS112" s="220" t="s">
        <v>201</v>
      </c>
      <c r="AT112" s="220">
        <v>5</v>
      </c>
    </row>
    <row r="113" spans="1:46" ht="16.5" customHeight="1" x14ac:dyDescent="0.25">
      <c r="A113" s="120">
        <v>112</v>
      </c>
      <c r="B113" s="120" t="e">
        <f>IF(#REF!="","",#REF!)</f>
        <v>#REF!</v>
      </c>
      <c r="C113" s="120" t="str">
        <f>IFERROR(VLOOKUP(B113,#REF!,5,FALSE),"")</f>
        <v/>
      </c>
      <c r="D113" s="223" t="str">
        <f>IFERROR(VLOOKUP(B113,#REF!,4,FALSE),"")</f>
        <v/>
      </c>
      <c r="E113" s="120">
        <v>112</v>
      </c>
      <c r="F113" s="224" t="e">
        <f t="shared" si="3"/>
        <v>#REF!</v>
      </c>
      <c r="G113" s="120"/>
      <c r="H113" s="120"/>
      <c r="I113" s="120"/>
      <c r="J113" s="120"/>
      <c r="K113" s="120"/>
      <c r="AQ113" s="220" t="s">
        <v>469</v>
      </c>
      <c r="AR113" s="246" t="s">
        <v>470</v>
      </c>
      <c r="AS113" s="220" t="s">
        <v>201</v>
      </c>
      <c r="AT113" s="220">
        <v>3</v>
      </c>
    </row>
    <row r="114" spans="1:46" ht="16.5" customHeight="1" x14ac:dyDescent="0.25">
      <c r="A114" s="120">
        <v>113</v>
      </c>
      <c r="B114" s="120" t="e">
        <f>IF(#REF!="","",#REF!)</f>
        <v>#REF!</v>
      </c>
      <c r="C114" s="120" t="str">
        <f>IFERROR(VLOOKUP(B114,#REF!,5,FALSE),"")</f>
        <v/>
      </c>
      <c r="D114" s="223" t="str">
        <f>IFERROR(VLOOKUP(B114,#REF!,4,FALSE),"")</f>
        <v/>
      </c>
      <c r="E114" s="120">
        <v>113</v>
      </c>
      <c r="F114" s="224" t="e">
        <f t="shared" si="3"/>
        <v>#REF!</v>
      </c>
      <c r="G114" s="120"/>
      <c r="H114" s="120"/>
      <c r="I114" s="120"/>
      <c r="J114" s="120"/>
      <c r="K114" s="120"/>
      <c r="AQ114" s="220" t="s">
        <v>471</v>
      </c>
      <c r="AR114" s="246" t="s">
        <v>472</v>
      </c>
      <c r="AS114" s="220" t="s">
        <v>204</v>
      </c>
      <c r="AT114" s="220">
        <v>8</v>
      </c>
    </row>
    <row r="115" spans="1:46" ht="16.5" customHeight="1" x14ac:dyDescent="0.25">
      <c r="A115" s="120">
        <v>114</v>
      </c>
      <c r="B115" s="120" t="e">
        <f>IF(#REF!="","",#REF!)</f>
        <v>#REF!</v>
      </c>
      <c r="C115" s="120" t="str">
        <f>IFERROR(VLOOKUP(B115,#REF!,5,FALSE),"")</f>
        <v/>
      </c>
      <c r="D115" s="223" t="str">
        <f>IFERROR(VLOOKUP(B115,#REF!,4,FALSE),"")</f>
        <v/>
      </c>
      <c r="E115" s="120">
        <v>114</v>
      </c>
      <c r="F115" s="224" t="e">
        <f t="shared" si="3"/>
        <v>#REF!</v>
      </c>
      <c r="G115" s="120"/>
      <c r="H115" s="120"/>
      <c r="I115" s="120"/>
      <c r="J115" s="120"/>
      <c r="K115" s="120"/>
      <c r="AQ115" s="220" t="s">
        <v>473</v>
      </c>
      <c r="AR115" s="246" t="s">
        <v>474</v>
      </c>
      <c r="AS115" s="220" t="s">
        <v>166</v>
      </c>
      <c r="AT115" s="220">
        <v>10</v>
      </c>
    </row>
    <row r="116" spans="1:46" ht="16.5" customHeight="1" x14ac:dyDescent="0.25">
      <c r="A116" s="120">
        <v>115</v>
      </c>
      <c r="B116" s="120" t="e">
        <f>IF(#REF!="","",#REF!)</f>
        <v>#REF!</v>
      </c>
      <c r="C116" s="120" t="str">
        <f>IFERROR(VLOOKUP(B116,#REF!,5,FALSE),"")</f>
        <v/>
      </c>
      <c r="D116" s="223" t="str">
        <f>IFERROR(VLOOKUP(B116,#REF!,4,FALSE),"")</f>
        <v/>
      </c>
      <c r="E116" s="120">
        <v>115</v>
      </c>
      <c r="F116" s="224" t="e">
        <f t="shared" si="3"/>
        <v>#REF!</v>
      </c>
      <c r="G116" s="120"/>
      <c r="H116" s="120"/>
      <c r="I116" s="120"/>
      <c r="J116" s="120"/>
      <c r="K116" s="120"/>
      <c r="AQ116" s="220" t="s">
        <v>475</v>
      </c>
      <c r="AR116" s="246" t="s">
        <v>476</v>
      </c>
      <c r="AS116" s="220" t="s">
        <v>170</v>
      </c>
      <c r="AT116" s="220">
        <v>5</v>
      </c>
    </row>
    <row r="117" spans="1:46" ht="16.5" customHeight="1" x14ac:dyDescent="0.25">
      <c r="A117" s="120">
        <v>116</v>
      </c>
      <c r="B117" s="120" t="e">
        <f>IF(#REF!="","",#REF!)</f>
        <v>#REF!</v>
      </c>
      <c r="C117" s="120" t="str">
        <f>IFERROR(VLOOKUP(B117,#REF!,5,FALSE),"")</f>
        <v/>
      </c>
      <c r="D117" s="223" t="str">
        <f>IFERROR(VLOOKUP(B117,#REF!,4,FALSE),"")</f>
        <v/>
      </c>
      <c r="E117" s="120">
        <v>116</v>
      </c>
      <c r="F117" s="224" t="e">
        <f t="shared" si="3"/>
        <v>#REF!</v>
      </c>
      <c r="G117" s="120"/>
      <c r="H117" s="120"/>
      <c r="I117" s="120"/>
      <c r="J117" s="120"/>
      <c r="K117" s="120"/>
      <c r="AQ117" s="220" t="s">
        <v>477</v>
      </c>
      <c r="AR117" s="246" t="s">
        <v>478</v>
      </c>
      <c r="AS117" s="220" t="s">
        <v>170</v>
      </c>
      <c r="AT117" s="220">
        <v>5</v>
      </c>
    </row>
    <row r="118" spans="1:46" ht="16.5" customHeight="1" x14ac:dyDescent="0.25">
      <c r="A118" s="120">
        <v>117</v>
      </c>
      <c r="B118" s="120" t="e">
        <f>IF(#REF!="","",#REF!)</f>
        <v>#REF!</v>
      </c>
      <c r="C118" s="120" t="str">
        <f>IFERROR(VLOOKUP(B118,#REF!,5,FALSE),"")</f>
        <v/>
      </c>
      <c r="D118" s="223" t="str">
        <f>IFERROR(VLOOKUP(B118,#REF!,4,FALSE),"")</f>
        <v/>
      </c>
      <c r="E118" s="120">
        <v>117</v>
      </c>
      <c r="F118" s="224" t="e">
        <f t="shared" si="3"/>
        <v>#REF!</v>
      </c>
      <c r="G118" s="120"/>
      <c r="H118" s="120"/>
      <c r="I118" s="120"/>
      <c r="J118" s="120"/>
      <c r="K118" s="120"/>
      <c r="AQ118" s="220" t="s">
        <v>479</v>
      </c>
      <c r="AR118" s="246" t="s">
        <v>480</v>
      </c>
      <c r="AS118" s="220" t="s">
        <v>161</v>
      </c>
      <c r="AT118" s="220">
        <v>3</v>
      </c>
    </row>
    <row r="119" spans="1:46" ht="16.5" customHeight="1" x14ac:dyDescent="0.25">
      <c r="A119" s="120">
        <v>118</v>
      </c>
      <c r="B119" s="120" t="e">
        <f>IF(#REF!="","",#REF!)</f>
        <v>#REF!</v>
      </c>
      <c r="C119" s="120" t="str">
        <f>IFERROR(VLOOKUP(B119,#REF!,5,FALSE),"")</f>
        <v/>
      </c>
      <c r="D119" s="223" t="str">
        <f>IFERROR(VLOOKUP(B119,#REF!,4,FALSE),"")</f>
        <v/>
      </c>
      <c r="E119" s="120">
        <v>118</v>
      </c>
      <c r="F119" s="224" t="e">
        <f t="shared" si="3"/>
        <v>#REF!</v>
      </c>
      <c r="G119" s="120"/>
      <c r="H119" s="120"/>
      <c r="I119" s="120"/>
      <c r="J119" s="120"/>
      <c r="K119" s="120"/>
      <c r="AP119" t="s">
        <v>481</v>
      </c>
      <c r="AQ119" s="220" t="s">
        <v>482</v>
      </c>
      <c r="AR119" s="246" t="s">
        <v>483</v>
      </c>
      <c r="AS119" s="220" t="s">
        <v>325</v>
      </c>
      <c r="AT119" s="220">
        <v>5</v>
      </c>
    </row>
    <row r="120" spans="1:46" ht="16.5" customHeight="1" x14ac:dyDescent="0.25">
      <c r="A120" s="120">
        <v>119</v>
      </c>
      <c r="B120" s="120" t="e">
        <f>IF(#REF!="","",#REF!)</f>
        <v>#REF!</v>
      </c>
      <c r="C120" s="120" t="str">
        <f>IFERROR(VLOOKUP(B120,#REF!,5,FALSE),"")</f>
        <v/>
      </c>
      <c r="D120" s="223" t="str">
        <f>IFERROR(VLOOKUP(B120,#REF!,4,FALSE),"")</f>
        <v/>
      </c>
      <c r="E120" s="120">
        <v>119</v>
      </c>
      <c r="F120" s="224" t="e">
        <f t="shared" si="3"/>
        <v>#REF!</v>
      </c>
      <c r="G120" s="120"/>
      <c r="H120" s="120"/>
      <c r="I120" s="120"/>
      <c r="J120" s="120"/>
      <c r="K120" s="120"/>
      <c r="AP120" t="s">
        <v>484</v>
      </c>
      <c r="AQ120" s="220" t="s">
        <v>485</v>
      </c>
      <c r="AR120" s="246" t="str">
        <f>AP120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AS120" s="220" t="s">
        <v>368</v>
      </c>
      <c r="AT120" s="220">
        <v>0</v>
      </c>
    </row>
    <row r="121" spans="1:46" ht="16.5" customHeight="1" x14ac:dyDescent="0.25">
      <c r="A121" s="120">
        <v>120</v>
      </c>
      <c r="B121" s="120" t="e">
        <f>IF(#REF!="","",#REF!)</f>
        <v>#REF!</v>
      </c>
      <c r="C121" s="120" t="str">
        <f>IFERROR(VLOOKUP(B121,#REF!,5,FALSE),"")</f>
        <v/>
      </c>
      <c r="D121" s="223" t="str">
        <f>IFERROR(VLOOKUP(B121,#REF!,4,FALSE),"")</f>
        <v/>
      </c>
      <c r="E121" s="120">
        <v>120</v>
      </c>
      <c r="F121" s="224" t="e">
        <f t="shared" si="3"/>
        <v>#REF!</v>
      </c>
      <c r="G121" s="120"/>
      <c r="H121" s="120"/>
      <c r="I121" s="120"/>
      <c r="J121" s="120"/>
      <c r="K121" s="120"/>
      <c r="AP121"/>
      <c r="AQ121" s="220" t="s">
        <v>486</v>
      </c>
      <c r="AR121" s="246" t="str">
        <f>AP120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AS121" s="220" t="s">
        <v>253</v>
      </c>
      <c r="AT121" s="220">
        <v>0.5</v>
      </c>
    </row>
    <row r="122" spans="1:46" ht="16.5" customHeight="1" x14ac:dyDescent="0.25">
      <c r="A122" s="120">
        <v>121</v>
      </c>
      <c r="B122" s="120" t="e">
        <f>IF(#REF!="","",#REF!)</f>
        <v>#REF!</v>
      </c>
      <c r="C122" s="120" t="str">
        <f>IFERROR(VLOOKUP(B122,#REF!,5,FALSE),"")</f>
        <v/>
      </c>
      <c r="D122" s="223" t="str">
        <f>IFERROR(VLOOKUP(B122,#REF!,4,FALSE),"")</f>
        <v/>
      </c>
      <c r="E122" s="120">
        <v>121</v>
      </c>
      <c r="F122" s="224" t="e">
        <f t="shared" si="3"/>
        <v>#REF!</v>
      </c>
      <c r="G122" s="120"/>
      <c r="H122" s="120"/>
      <c r="I122" s="120"/>
      <c r="J122" s="120"/>
      <c r="K122" s="120"/>
      <c r="AP122"/>
      <c r="AQ122" s="220" t="s">
        <v>487</v>
      </c>
      <c r="AR122" s="246" t="str">
        <f>AP120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AS122" s="220" t="s">
        <v>253</v>
      </c>
      <c r="AT122" s="220">
        <v>0</v>
      </c>
    </row>
    <row r="123" spans="1:46" ht="16.5" customHeight="1" x14ac:dyDescent="0.25">
      <c r="A123" s="120">
        <v>122</v>
      </c>
      <c r="B123" s="120" t="e">
        <f>IF(#REF!="","",#REF!)</f>
        <v>#REF!</v>
      </c>
      <c r="C123" s="120" t="str">
        <f>IFERROR(VLOOKUP(B123,#REF!,5,FALSE),"")</f>
        <v/>
      </c>
      <c r="D123" s="223" t="str">
        <f>IFERROR(VLOOKUP(B123,#REF!,4,FALSE),"")</f>
        <v/>
      </c>
      <c r="E123" s="120">
        <v>122</v>
      </c>
      <c r="F123" s="224" t="e">
        <f t="shared" si="3"/>
        <v>#REF!</v>
      </c>
      <c r="G123" s="120"/>
      <c r="H123" s="120"/>
      <c r="I123" s="120"/>
      <c r="J123" s="120"/>
      <c r="K123" s="120"/>
      <c r="AP123"/>
      <c r="AQ123" s="220" t="s">
        <v>488</v>
      </c>
      <c r="AR123" s="246" t="str">
        <f>AP120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AS123" s="220" t="s">
        <v>209</v>
      </c>
      <c r="AT123" s="220">
        <v>3</v>
      </c>
    </row>
    <row r="124" spans="1:46" ht="16.5" customHeight="1" x14ac:dyDescent="0.25">
      <c r="A124" s="120">
        <v>123</v>
      </c>
      <c r="B124" s="120" t="e">
        <f>IF(#REF!="","",#REF!)</f>
        <v>#REF!</v>
      </c>
      <c r="C124" s="120" t="str">
        <f>IFERROR(VLOOKUP(B124,#REF!,5,FALSE),"")</f>
        <v/>
      </c>
      <c r="D124" s="223" t="str">
        <f>IFERROR(VLOOKUP(B124,#REF!,4,FALSE),"")</f>
        <v/>
      </c>
      <c r="E124" s="120">
        <v>123</v>
      </c>
      <c r="F124" s="224" t="e">
        <f t="shared" si="3"/>
        <v>#REF!</v>
      </c>
      <c r="G124" s="120"/>
      <c r="H124" s="120"/>
      <c r="I124" s="120"/>
      <c r="J124" s="120"/>
      <c r="K124" s="120"/>
      <c r="AP124" t="s">
        <v>489</v>
      </c>
      <c r="AQ124" s="220" t="s">
        <v>490</v>
      </c>
      <c r="AR124" s="246" t="s">
        <v>491</v>
      </c>
      <c r="AS124" s="220" t="s">
        <v>209</v>
      </c>
      <c r="AT124" s="220">
        <v>3</v>
      </c>
    </row>
    <row r="125" spans="1:46" ht="16.5" customHeight="1" x14ac:dyDescent="0.25">
      <c r="A125" s="120">
        <v>124</v>
      </c>
      <c r="B125" s="120" t="e">
        <f>IF(#REF!="","",#REF!)</f>
        <v>#REF!</v>
      </c>
      <c r="C125" s="120" t="str">
        <f>IFERROR(VLOOKUP(B125,#REF!,5,FALSE),"")</f>
        <v/>
      </c>
      <c r="D125" s="223" t="str">
        <f>IFERROR(VLOOKUP(B125,#REF!,4,FALSE),"")</f>
        <v/>
      </c>
      <c r="E125" s="120">
        <v>124</v>
      </c>
      <c r="F125" s="224" t="e">
        <f t="shared" si="3"/>
        <v>#REF!</v>
      </c>
      <c r="G125" s="120"/>
      <c r="H125" s="120"/>
      <c r="I125" s="120"/>
      <c r="J125" s="120"/>
      <c r="K125" s="120"/>
      <c r="AP125" t="s">
        <v>492</v>
      </c>
      <c r="AQ125" s="220" t="s">
        <v>493</v>
      </c>
      <c r="AR125"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25" s="220" t="s">
        <v>460</v>
      </c>
      <c r="AT125" s="220">
        <v>6</v>
      </c>
    </row>
    <row r="126" spans="1:46" ht="16.5" customHeight="1" x14ac:dyDescent="0.25">
      <c r="A126" s="120">
        <v>125</v>
      </c>
      <c r="B126" s="120" t="e">
        <f>IF(#REF!="","",#REF!)</f>
        <v>#REF!</v>
      </c>
      <c r="C126" s="120" t="str">
        <f>IFERROR(VLOOKUP(B126,#REF!,5,FALSE),"")</f>
        <v/>
      </c>
      <c r="D126" s="223" t="str">
        <f>IFERROR(VLOOKUP(B126,#REF!,4,FALSE),"")</f>
        <v/>
      </c>
      <c r="E126" s="120">
        <v>125</v>
      </c>
      <c r="F126" s="224" t="e">
        <f t="shared" si="3"/>
        <v>#REF!</v>
      </c>
      <c r="G126" s="120"/>
      <c r="H126" s="120"/>
      <c r="I126" s="120"/>
      <c r="J126" s="120"/>
      <c r="K126" s="120"/>
      <c r="AQ126" s="220" t="s">
        <v>494</v>
      </c>
      <c r="AR126"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26" s="220" t="s">
        <v>495</v>
      </c>
      <c r="AT126" s="220">
        <v>3</v>
      </c>
    </row>
    <row r="127" spans="1:46" ht="16.5" customHeight="1" x14ac:dyDescent="0.25">
      <c r="A127" s="120">
        <v>126</v>
      </c>
      <c r="B127" s="120" t="e">
        <f>IF(#REF!="","",#REF!)</f>
        <v>#REF!</v>
      </c>
      <c r="C127" s="120" t="str">
        <f>IFERROR(VLOOKUP(B127,#REF!,5,FALSE),"")</f>
        <v/>
      </c>
      <c r="D127" s="223" t="str">
        <f>IFERROR(VLOOKUP(B127,#REF!,4,FALSE),"")</f>
        <v/>
      </c>
      <c r="E127" s="120">
        <v>126</v>
      </c>
      <c r="F127" s="224" t="e">
        <f t="shared" si="3"/>
        <v>#REF!</v>
      </c>
      <c r="G127" s="120"/>
      <c r="H127" s="120"/>
      <c r="I127" s="120"/>
      <c r="J127" s="120"/>
      <c r="K127" s="120"/>
      <c r="AQ127" s="220" t="s">
        <v>496</v>
      </c>
      <c r="AR127"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27" s="220" t="s">
        <v>161</v>
      </c>
      <c r="AT127" s="220">
        <v>10</v>
      </c>
    </row>
    <row r="128" spans="1:46" ht="16.5" customHeight="1" x14ac:dyDescent="0.25">
      <c r="A128" s="120">
        <v>127</v>
      </c>
      <c r="B128" s="120" t="e">
        <f>IF(#REF!="","",#REF!)</f>
        <v>#REF!</v>
      </c>
      <c r="C128" s="120" t="str">
        <f>IFERROR(VLOOKUP(B128,#REF!,5,FALSE),"")</f>
        <v/>
      </c>
      <c r="D128" s="223" t="str">
        <f>IFERROR(VLOOKUP(B128,#REF!,4,FALSE),"")</f>
        <v/>
      </c>
      <c r="E128" s="120">
        <v>127</v>
      </c>
      <c r="F128" s="224" t="e">
        <f t="shared" si="3"/>
        <v>#REF!</v>
      </c>
      <c r="G128" s="120"/>
      <c r="H128" s="120"/>
      <c r="I128" s="120"/>
      <c r="J128" s="120"/>
      <c r="K128" s="120"/>
      <c r="AQ128" s="220" t="s">
        <v>497</v>
      </c>
      <c r="AR128"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28" s="220" t="s">
        <v>155</v>
      </c>
      <c r="AT128" s="220">
        <v>1</v>
      </c>
    </row>
    <row r="129" spans="1:46" ht="16.5" customHeight="1" x14ac:dyDescent="0.25">
      <c r="A129" s="120">
        <v>128</v>
      </c>
      <c r="B129" s="120" t="e">
        <f>IF(#REF!="","",#REF!)</f>
        <v>#REF!</v>
      </c>
      <c r="C129" s="120" t="str">
        <f>IFERROR(VLOOKUP(B129,#REF!,5,FALSE),"")</f>
        <v/>
      </c>
      <c r="D129" s="223" t="str">
        <f>IFERROR(VLOOKUP(B129,#REF!,4,FALSE),"")</f>
        <v/>
      </c>
      <c r="E129" s="120">
        <v>128</v>
      </c>
      <c r="F129" s="224" t="e">
        <f t="shared" si="3"/>
        <v>#REF!</v>
      </c>
      <c r="G129" s="120"/>
      <c r="H129" s="120"/>
      <c r="I129" s="120"/>
      <c r="J129" s="120"/>
      <c r="K129" s="120"/>
      <c r="AQ129" s="220" t="s">
        <v>498</v>
      </c>
      <c r="AR129"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29" s="220" t="s">
        <v>499</v>
      </c>
      <c r="AT129" s="220">
        <v>2</v>
      </c>
    </row>
    <row r="130" spans="1:46" ht="16.5" customHeight="1" x14ac:dyDescent="0.25">
      <c r="A130" s="120">
        <v>129</v>
      </c>
      <c r="B130" s="120" t="e">
        <f>IF(#REF!="","",#REF!)</f>
        <v>#REF!</v>
      </c>
      <c r="C130" s="120" t="str">
        <f>IFERROR(VLOOKUP(B130,#REF!,5,FALSE),"")</f>
        <v/>
      </c>
      <c r="D130" s="223" t="str">
        <f>IFERROR(VLOOKUP(B130,#REF!,4,FALSE),"")</f>
        <v/>
      </c>
      <c r="E130" s="120">
        <v>129</v>
      </c>
      <c r="F130" s="224" t="e">
        <f t="shared" si="3"/>
        <v>#REF!</v>
      </c>
      <c r="G130" s="120"/>
      <c r="H130" s="120"/>
      <c r="I130" s="120"/>
      <c r="J130" s="120"/>
      <c r="K130" s="120"/>
      <c r="AQ130" s="220" t="s">
        <v>500</v>
      </c>
      <c r="AR130"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30" s="220" t="s">
        <v>460</v>
      </c>
      <c r="AT130" s="220">
        <v>2</v>
      </c>
    </row>
    <row r="131" spans="1:46" ht="16.5" customHeight="1" x14ac:dyDescent="0.25">
      <c r="A131" s="120">
        <v>130</v>
      </c>
      <c r="B131" s="120" t="e">
        <f>IF(#REF!="","",#REF!)</f>
        <v>#REF!</v>
      </c>
      <c r="C131" s="120" t="str">
        <f>IFERROR(VLOOKUP(B131,#REF!,5,FALSE),"")</f>
        <v/>
      </c>
      <c r="D131" s="223" t="str">
        <f>IFERROR(VLOOKUP(B131,#REF!,4,FALSE),"")</f>
        <v/>
      </c>
      <c r="E131" s="120">
        <v>130</v>
      </c>
      <c r="F131" s="224" t="e">
        <f t="shared" si="3"/>
        <v>#REF!</v>
      </c>
      <c r="G131" s="120"/>
      <c r="H131" s="120"/>
      <c r="I131" s="120"/>
      <c r="J131" s="120"/>
      <c r="K131" s="120"/>
      <c r="AQ131" s="220" t="s">
        <v>501</v>
      </c>
      <c r="AR131"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31" s="220" t="s">
        <v>191</v>
      </c>
      <c r="AT131" s="220">
        <v>2</v>
      </c>
    </row>
    <row r="132" spans="1:46" ht="16.5" customHeight="1" x14ac:dyDescent="0.25">
      <c r="A132" s="120">
        <v>131</v>
      </c>
      <c r="B132" s="120" t="e">
        <f>IF(#REF!="","",#REF!)</f>
        <v>#REF!</v>
      </c>
      <c r="C132" s="120" t="str">
        <f>IFERROR(VLOOKUP(B132,#REF!,5,FALSE),"")</f>
        <v/>
      </c>
      <c r="D132" s="223" t="str">
        <f>IFERROR(VLOOKUP(B132,#REF!,4,FALSE),"")</f>
        <v/>
      </c>
      <c r="E132" s="120">
        <v>131</v>
      </c>
      <c r="F132" s="224" t="e">
        <f t="shared" si="3"/>
        <v>#REF!</v>
      </c>
      <c r="G132" s="120"/>
      <c r="H132" s="120"/>
      <c r="I132" s="120"/>
      <c r="J132" s="120"/>
      <c r="K132" s="120"/>
      <c r="AQ132" s="220" t="s">
        <v>502</v>
      </c>
      <c r="AR132"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32" s="220" t="s">
        <v>503</v>
      </c>
      <c r="AT132" s="220">
        <v>2</v>
      </c>
    </row>
    <row r="133" spans="1:46" ht="16.5" customHeight="1" x14ac:dyDescent="0.25">
      <c r="A133" s="120">
        <v>132</v>
      </c>
      <c r="B133" s="120" t="e">
        <f>IF(#REF!="","",#REF!)</f>
        <v>#REF!</v>
      </c>
      <c r="C133" s="120" t="str">
        <f>IFERROR(VLOOKUP(B133,#REF!,5,FALSE),"")</f>
        <v/>
      </c>
      <c r="D133" s="223" t="str">
        <f>IFERROR(VLOOKUP(B133,#REF!,4,FALSE),"")</f>
        <v/>
      </c>
      <c r="E133" s="120">
        <v>132</v>
      </c>
      <c r="F133" s="224" t="e">
        <f t="shared" si="3"/>
        <v>#REF!</v>
      </c>
      <c r="G133" s="120"/>
      <c r="H133" s="120"/>
      <c r="I133" s="120"/>
      <c r="J133" s="120"/>
      <c r="K133" s="120"/>
      <c r="AQ133" s="220" t="s">
        <v>504</v>
      </c>
      <c r="AR133"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33" s="220" t="s">
        <v>155</v>
      </c>
      <c r="AT133" s="220">
        <v>1</v>
      </c>
    </row>
    <row r="134" spans="1:46" ht="16.5" customHeight="1" x14ac:dyDescent="0.25">
      <c r="A134" s="120">
        <v>133</v>
      </c>
      <c r="B134" s="120" t="e">
        <f>IF(#REF!="","",#REF!)</f>
        <v>#REF!</v>
      </c>
      <c r="C134" s="120" t="str">
        <f>IFERROR(VLOOKUP(B134,#REF!,5,FALSE),"")</f>
        <v/>
      </c>
      <c r="D134" s="223" t="str">
        <f>IFERROR(VLOOKUP(B134,#REF!,4,FALSE),"")</f>
        <v/>
      </c>
      <c r="E134" s="120">
        <v>133</v>
      </c>
      <c r="F134" s="224" t="e">
        <f t="shared" ref="F134:F155" si="4">B134</f>
        <v>#REF!</v>
      </c>
      <c r="G134" s="120"/>
      <c r="H134" s="120"/>
      <c r="I134" s="120"/>
      <c r="J134" s="120"/>
      <c r="K134" s="120"/>
      <c r="AQ134" s="220" t="s">
        <v>505</v>
      </c>
      <c r="AR134" s="246" t="str">
        <f>AP125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AS134" s="220" t="s">
        <v>460</v>
      </c>
      <c r="AT134" s="220">
        <v>1</v>
      </c>
    </row>
    <row r="135" spans="1:46" ht="16.5" customHeight="1" x14ac:dyDescent="0.25">
      <c r="A135" s="120">
        <v>134</v>
      </c>
      <c r="B135" s="120" t="e">
        <f>IF(#REF!="","",#REF!)</f>
        <v>#REF!</v>
      </c>
      <c r="C135" s="120" t="str">
        <f>IFERROR(VLOOKUP(B135,#REF!,5,FALSE),"")</f>
        <v/>
      </c>
      <c r="D135" s="223" t="str">
        <f>IFERROR(VLOOKUP(B135,#REF!,4,FALSE),"")</f>
        <v/>
      </c>
      <c r="E135" s="120">
        <v>134</v>
      </c>
      <c r="F135" s="224" t="e">
        <f t="shared" si="4"/>
        <v>#REF!</v>
      </c>
      <c r="G135" s="120"/>
      <c r="H135" s="120"/>
      <c r="I135" s="120"/>
      <c r="J135" s="120"/>
      <c r="K135" s="120"/>
      <c r="AQ135" s="220" t="s">
        <v>506</v>
      </c>
      <c r="AR135" s="246" t="s">
        <v>507</v>
      </c>
      <c r="AS135" s="220" t="s">
        <v>161</v>
      </c>
      <c r="AT135" s="220">
        <v>2</v>
      </c>
    </row>
    <row r="136" spans="1:46" ht="16.5" customHeight="1" x14ac:dyDescent="0.25">
      <c r="A136" s="120">
        <v>135</v>
      </c>
      <c r="B136" s="120" t="e">
        <f>IF(#REF!="","",#REF!)</f>
        <v>#REF!</v>
      </c>
      <c r="C136" s="120" t="str">
        <f>IFERROR(VLOOKUP(B136,#REF!,5,FALSE),"")</f>
        <v/>
      </c>
      <c r="D136" s="223" t="str">
        <f>IFERROR(VLOOKUP(B136,#REF!,4,FALSE),"")</f>
        <v/>
      </c>
      <c r="E136" s="120">
        <v>135</v>
      </c>
      <c r="F136" s="224" t="e">
        <f t="shared" si="4"/>
        <v>#REF!</v>
      </c>
      <c r="G136" s="120"/>
      <c r="H136" s="120"/>
      <c r="I136" s="120"/>
      <c r="J136" s="120"/>
      <c r="K136" s="120"/>
      <c r="AQ136" s="220" t="s">
        <v>508</v>
      </c>
      <c r="AR136" s="246" t="s">
        <v>509</v>
      </c>
      <c r="AS136" s="220" t="s">
        <v>166</v>
      </c>
      <c r="AT136" s="220">
        <v>2</v>
      </c>
    </row>
    <row r="137" spans="1:46" ht="16.5" customHeight="1" x14ac:dyDescent="0.25">
      <c r="A137" s="120">
        <v>136</v>
      </c>
      <c r="B137" s="120" t="e">
        <f>IF(#REF!="","",#REF!)</f>
        <v>#REF!</v>
      </c>
      <c r="C137" s="120" t="str">
        <f>IFERROR(VLOOKUP(B137,#REF!,5,FALSE),"")</f>
        <v/>
      </c>
      <c r="D137" s="223" t="str">
        <f>IFERROR(VLOOKUP(B137,#REF!,4,FALSE),"")</f>
        <v/>
      </c>
      <c r="E137" s="120">
        <v>136</v>
      </c>
      <c r="F137" s="224" t="e">
        <f t="shared" si="4"/>
        <v>#REF!</v>
      </c>
      <c r="G137" s="120"/>
      <c r="H137" s="120"/>
      <c r="I137" s="120"/>
      <c r="J137" s="120"/>
      <c r="K137" s="120"/>
      <c r="AQ137" s="220" t="s">
        <v>510</v>
      </c>
      <c r="AR137" s="246" t="s">
        <v>511</v>
      </c>
      <c r="AS137" s="220" t="s">
        <v>161</v>
      </c>
      <c r="AT137" s="220">
        <v>1</v>
      </c>
    </row>
    <row r="138" spans="1:46" ht="16.5" customHeight="1" x14ac:dyDescent="0.25">
      <c r="A138" s="120">
        <v>137</v>
      </c>
      <c r="B138" s="120" t="e">
        <f>IF(#REF!="","",#REF!)</f>
        <v>#REF!</v>
      </c>
      <c r="C138" s="120" t="str">
        <f>IFERROR(VLOOKUP(B138,#REF!,5,FALSE),"")</f>
        <v/>
      </c>
      <c r="D138" s="223" t="str">
        <f>IFERROR(VLOOKUP(B138,#REF!,4,FALSE),"")</f>
        <v/>
      </c>
      <c r="E138" s="120">
        <v>137</v>
      </c>
      <c r="F138" s="224" t="e">
        <f t="shared" si="4"/>
        <v>#REF!</v>
      </c>
      <c r="G138" s="120"/>
      <c r="H138" s="120"/>
      <c r="I138" s="120"/>
      <c r="J138" s="120"/>
      <c r="K138" s="120"/>
      <c r="AQ138" s="220" t="s">
        <v>512</v>
      </c>
      <c r="AR138" s="246" t="s">
        <v>513</v>
      </c>
      <c r="AS138" s="220" t="s">
        <v>513</v>
      </c>
      <c r="AT138" s="220" t="s">
        <v>513</v>
      </c>
    </row>
    <row r="139" spans="1:46" ht="16.5" customHeight="1" x14ac:dyDescent="0.25">
      <c r="A139" s="120">
        <v>138</v>
      </c>
      <c r="B139" s="120" t="e">
        <f>IF(#REF!="","",#REF!)</f>
        <v>#REF!</v>
      </c>
      <c r="C139" s="120" t="str">
        <f>IFERROR(VLOOKUP(B139,#REF!,5,FALSE),"")</f>
        <v/>
      </c>
      <c r="D139" s="223" t="str">
        <f>IFERROR(VLOOKUP(B139,#REF!,4,FALSE),"")</f>
        <v/>
      </c>
      <c r="E139" s="120">
        <v>138</v>
      </c>
      <c r="F139" s="224" t="e">
        <f t="shared" si="4"/>
        <v>#REF!</v>
      </c>
      <c r="G139" s="120"/>
      <c r="H139" s="120"/>
      <c r="I139" s="120"/>
      <c r="J139" s="120"/>
      <c r="K139" s="120"/>
      <c r="AQ139" s="220" t="s">
        <v>514</v>
      </c>
      <c r="AR139" s="246" t="s">
        <v>513</v>
      </c>
      <c r="AS139" s="220" t="s">
        <v>513</v>
      </c>
      <c r="AT139" s="220" t="s">
        <v>513</v>
      </c>
    </row>
    <row r="140" spans="1:46" ht="16.5" customHeight="1" x14ac:dyDescent="0.25">
      <c r="A140" s="120">
        <v>139</v>
      </c>
      <c r="B140" s="120" t="e">
        <f>IF(#REF!="","",#REF!)</f>
        <v>#REF!</v>
      </c>
      <c r="C140" s="120" t="str">
        <f>IFERROR(VLOOKUP(B140,#REF!,5,FALSE),"")</f>
        <v/>
      </c>
      <c r="D140" s="223" t="str">
        <f>IFERROR(VLOOKUP(B140,#REF!,4,FALSE),"")</f>
        <v/>
      </c>
      <c r="E140" s="120">
        <v>139</v>
      </c>
      <c r="F140" s="224" t="e">
        <f t="shared" si="4"/>
        <v>#REF!</v>
      </c>
      <c r="G140" s="120"/>
      <c r="H140" s="120"/>
      <c r="I140" s="120"/>
      <c r="J140" s="120"/>
      <c r="K140" s="120"/>
      <c r="AQ140" s="220" t="s">
        <v>515</v>
      </c>
      <c r="AR140" s="246" t="s">
        <v>516</v>
      </c>
      <c r="AS140" s="220" t="s">
        <v>517</v>
      </c>
      <c r="AT140" s="220">
        <v>47.5</v>
      </c>
    </row>
    <row r="141" spans="1:46" ht="16.5" customHeight="1" x14ac:dyDescent="0.25">
      <c r="A141" s="120">
        <v>140</v>
      </c>
      <c r="B141" s="120" t="e">
        <f>IF(#REF!="","",#REF!)</f>
        <v>#REF!</v>
      </c>
      <c r="C141" s="120" t="str">
        <f>IFERROR(VLOOKUP(B141,#REF!,5,FALSE),"")</f>
        <v/>
      </c>
      <c r="D141" s="223" t="str">
        <f>IFERROR(VLOOKUP(B141,#REF!,4,FALSE),"")</f>
        <v/>
      </c>
      <c r="E141" s="120">
        <v>140</v>
      </c>
      <c r="F141" s="224" t="e">
        <f t="shared" si="4"/>
        <v>#REF!</v>
      </c>
      <c r="G141" s="120"/>
      <c r="H141" s="120"/>
      <c r="I141" s="120"/>
      <c r="J141" s="120"/>
      <c r="K141" s="120"/>
      <c r="AQ141" s="220" t="s">
        <v>518</v>
      </c>
      <c r="AR141" s="246" t="s">
        <v>519</v>
      </c>
      <c r="AS141" s="220" t="s">
        <v>520</v>
      </c>
      <c r="AT141" s="220">
        <v>46</v>
      </c>
    </row>
    <row r="142" spans="1:46" ht="16.5" customHeight="1" x14ac:dyDescent="0.25">
      <c r="A142" s="120">
        <v>141</v>
      </c>
      <c r="B142" s="120" t="e">
        <f>IF(#REF!="","",#REF!)</f>
        <v>#REF!</v>
      </c>
      <c r="C142" s="120" t="str">
        <f>IFERROR(VLOOKUP(B142,#REF!,5,FALSE),"")</f>
        <v/>
      </c>
      <c r="D142" s="223" t="str">
        <f>IFERROR(VLOOKUP(B142,#REF!,4,FALSE),"")</f>
        <v/>
      </c>
      <c r="E142" s="120">
        <v>141</v>
      </c>
      <c r="F142" s="224" t="e">
        <f t="shared" si="4"/>
        <v>#REF!</v>
      </c>
      <c r="G142" s="120"/>
      <c r="H142" s="120"/>
      <c r="I142" s="120"/>
      <c r="J142" s="120"/>
      <c r="K142" s="120"/>
      <c r="AQ142" s="220" t="s">
        <v>521</v>
      </c>
      <c r="AR142" s="246" t="s">
        <v>522</v>
      </c>
      <c r="AS142" s="220" t="s">
        <v>517</v>
      </c>
      <c r="AT142" s="220">
        <v>61.5</v>
      </c>
    </row>
    <row r="143" spans="1:46" ht="16.5" customHeight="1" x14ac:dyDescent="0.25">
      <c r="A143" s="120">
        <v>142</v>
      </c>
      <c r="B143" s="120" t="e">
        <f>IF(#REF!="","",#REF!)</f>
        <v>#REF!</v>
      </c>
      <c r="C143" s="120" t="str">
        <f>IFERROR(VLOOKUP(B143,#REF!,5,FALSE),"")</f>
        <v/>
      </c>
      <c r="D143" s="223" t="str">
        <f>IFERROR(VLOOKUP(B143,#REF!,4,FALSE),"")</f>
        <v/>
      </c>
      <c r="E143" s="120">
        <v>142</v>
      </c>
      <c r="F143" s="224" t="e">
        <f t="shared" si="4"/>
        <v>#REF!</v>
      </c>
      <c r="G143" s="120"/>
      <c r="H143" s="120"/>
      <c r="I143" s="120"/>
      <c r="J143" s="120"/>
      <c r="K143" s="120"/>
      <c r="AQ143" s="220" t="s">
        <v>523</v>
      </c>
      <c r="AR143" s="246" t="s">
        <v>524</v>
      </c>
      <c r="AS143" s="220" t="s">
        <v>525</v>
      </c>
      <c r="AT143" s="220">
        <v>38</v>
      </c>
    </row>
    <row r="144" spans="1:46" ht="16.5" customHeight="1" x14ac:dyDescent="0.25">
      <c r="A144" s="120">
        <v>143</v>
      </c>
      <c r="B144" s="120" t="e">
        <f>IF(#REF!="","",#REF!)</f>
        <v>#REF!</v>
      </c>
      <c r="C144" s="120" t="str">
        <f>IFERROR(VLOOKUP(B144,#REF!,5,FALSE),"")</f>
        <v/>
      </c>
      <c r="D144" s="223" t="str">
        <f>IFERROR(VLOOKUP(B144,#REF!,4,FALSE),"")</f>
        <v/>
      </c>
      <c r="E144" s="120">
        <v>143</v>
      </c>
      <c r="F144" s="224" t="e">
        <f t="shared" si="4"/>
        <v>#REF!</v>
      </c>
      <c r="G144" s="120"/>
      <c r="H144" s="120"/>
      <c r="I144" s="120"/>
      <c r="J144" s="120"/>
      <c r="K144" s="120"/>
      <c r="AQ144" s="220" t="s">
        <v>526</v>
      </c>
      <c r="AR144" s="246" t="s">
        <v>527</v>
      </c>
      <c r="AS144" s="220" t="s">
        <v>520</v>
      </c>
      <c r="AT144" s="220">
        <v>59</v>
      </c>
    </row>
    <row r="145" spans="1:46" ht="16.5" customHeight="1" x14ac:dyDescent="0.25">
      <c r="A145" s="120">
        <v>144</v>
      </c>
      <c r="B145" s="120" t="e">
        <f>IF(#REF!="","",#REF!)</f>
        <v>#REF!</v>
      </c>
      <c r="C145" s="120" t="str">
        <f>IFERROR(VLOOKUP(B145,#REF!,5,FALSE),"")</f>
        <v/>
      </c>
      <c r="D145" s="223" t="str">
        <f>IFERROR(VLOOKUP(B145,#REF!,4,FALSE),"")</f>
        <v/>
      </c>
      <c r="E145" s="120">
        <v>144</v>
      </c>
      <c r="F145" s="224" t="e">
        <f t="shared" si="4"/>
        <v>#REF!</v>
      </c>
      <c r="G145" s="120"/>
      <c r="H145" s="120"/>
      <c r="I145" s="120"/>
      <c r="J145" s="120"/>
      <c r="K145" s="120"/>
      <c r="AQ145" s="220" t="s">
        <v>528</v>
      </c>
      <c r="AR145" s="246" t="s">
        <v>529</v>
      </c>
      <c r="AS145" s="220" t="s">
        <v>530</v>
      </c>
      <c r="AT145" s="220">
        <v>18</v>
      </c>
    </row>
    <row r="146" spans="1:46" ht="16.5" customHeight="1" x14ac:dyDescent="0.25">
      <c r="A146" s="120">
        <v>145</v>
      </c>
      <c r="B146" s="120" t="e">
        <f>IF(#REF!="","",#REF!)</f>
        <v>#REF!</v>
      </c>
      <c r="C146" s="120" t="str">
        <f>IFERROR(VLOOKUP(B146,#REF!,5,FALSE),"")</f>
        <v/>
      </c>
      <c r="D146" s="223" t="str">
        <f>IFERROR(VLOOKUP(B146,#REF!,4,FALSE),"")</f>
        <v/>
      </c>
      <c r="E146" s="120">
        <v>145</v>
      </c>
      <c r="F146" s="224" t="e">
        <f t="shared" si="4"/>
        <v>#REF!</v>
      </c>
      <c r="G146" s="120"/>
      <c r="H146" s="120"/>
      <c r="I146" s="120"/>
      <c r="J146" s="120"/>
      <c r="K146" s="120"/>
      <c r="AQ146" s="220" t="s">
        <v>531</v>
      </c>
      <c r="AR146" s="246" t="s">
        <v>532</v>
      </c>
      <c r="AS146" s="220" t="s">
        <v>520</v>
      </c>
      <c r="AT146" s="220">
        <v>11</v>
      </c>
    </row>
    <row r="147" spans="1:46" ht="16.5" customHeight="1" x14ac:dyDescent="0.25">
      <c r="A147" s="120">
        <v>146</v>
      </c>
      <c r="B147" s="120" t="e">
        <f>IF(#REF!="","",#REF!)</f>
        <v>#REF!</v>
      </c>
      <c r="C147" s="120" t="str">
        <f>IFERROR(VLOOKUP(B147,#REF!,5,FALSE),"")</f>
        <v/>
      </c>
      <c r="D147" s="223" t="str">
        <f>IFERROR(VLOOKUP(B147,#REF!,4,FALSE),"")</f>
        <v/>
      </c>
      <c r="E147" s="120">
        <v>146</v>
      </c>
      <c r="F147" s="224" t="e">
        <f t="shared" si="4"/>
        <v>#REF!</v>
      </c>
      <c r="G147" s="120"/>
      <c r="H147" s="120"/>
      <c r="I147" s="120"/>
      <c r="J147" s="120"/>
      <c r="K147" s="120"/>
      <c r="AQ147" s="220">
        <v>0</v>
      </c>
      <c r="AR147" s="221" t="s">
        <v>154</v>
      </c>
      <c r="AS147" s="220">
        <v>0</v>
      </c>
      <c r="AT147" s="220">
        <v>0</v>
      </c>
    </row>
    <row r="148" spans="1:46" ht="16.5" customHeight="1" x14ac:dyDescent="0.25">
      <c r="A148" s="120">
        <v>147</v>
      </c>
      <c r="B148" s="120" t="e">
        <f>IF(#REF!="","",#REF!)</f>
        <v>#REF!</v>
      </c>
      <c r="C148" s="120" t="str">
        <f>IFERROR(VLOOKUP(B148,#REF!,5,FALSE),"")</f>
        <v/>
      </c>
      <c r="D148" s="223" t="str">
        <f>IFERROR(VLOOKUP(B148,#REF!,4,FALSE),"")</f>
        <v/>
      </c>
      <c r="E148" s="120">
        <v>147</v>
      </c>
      <c r="F148" s="224" t="e">
        <f t="shared" si="4"/>
        <v>#REF!</v>
      </c>
      <c r="G148" s="120"/>
      <c r="H148" s="120"/>
      <c r="I148" s="120"/>
      <c r="J148" s="120"/>
      <c r="K148" s="120"/>
    </row>
    <row r="149" spans="1:46" ht="16.5" customHeight="1" x14ac:dyDescent="0.25">
      <c r="A149" s="120">
        <v>148</v>
      </c>
      <c r="B149" s="120" t="e">
        <f>IF(#REF!="","",#REF!)</f>
        <v>#REF!</v>
      </c>
      <c r="C149" s="120" t="str">
        <f>IFERROR(VLOOKUP(B149,#REF!,5,FALSE),"")</f>
        <v/>
      </c>
      <c r="D149" s="223" t="str">
        <f>IFERROR(VLOOKUP(B149,#REF!,4,FALSE),"")</f>
        <v/>
      </c>
      <c r="E149" s="120">
        <v>148</v>
      </c>
      <c r="F149" s="224" t="e">
        <f t="shared" si="4"/>
        <v>#REF!</v>
      </c>
      <c r="G149" s="120"/>
      <c r="H149" s="120"/>
      <c r="I149" s="120"/>
      <c r="J149" s="120"/>
      <c r="K149" s="120"/>
    </row>
    <row r="150" spans="1:46" ht="16.5" customHeight="1" x14ac:dyDescent="0.25">
      <c r="A150" s="120">
        <v>149</v>
      </c>
      <c r="B150" s="120" t="e">
        <f>IF(#REF!="","",#REF!)</f>
        <v>#REF!</v>
      </c>
      <c r="C150" s="120" t="str">
        <f>IFERROR(VLOOKUP(B150,#REF!,5,FALSE),"")</f>
        <v/>
      </c>
      <c r="D150" s="223" t="str">
        <f>IFERROR(VLOOKUP(B150,#REF!,4,FALSE),"")</f>
        <v/>
      </c>
      <c r="E150" s="120">
        <v>149</v>
      </c>
      <c r="F150" s="224" t="e">
        <f t="shared" si="4"/>
        <v>#REF!</v>
      </c>
      <c r="G150" s="120"/>
      <c r="H150" s="120"/>
      <c r="I150" s="120"/>
      <c r="J150" s="120"/>
      <c r="K150" s="120"/>
    </row>
    <row r="151" spans="1:46" ht="16.5" customHeight="1" x14ac:dyDescent="0.25">
      <c r="A151" s="120">
        <v>150</v>
      </c>
      <c r="B151" s="120" t="e">
        <f>IF(#REF!="","",#REF!)</f>
        <v>#REF!</v>
      </c>
      <c r="C151" s="120" t="str">
        <f>IFERROR(VLOOKUP(B151,#REF!,5,FALSE),"")</f>
        <v/>
      </c>
      <c r="D151" s="223" t="str">
        <f>IFERROR(VLOOKUP(B151,#REF!,4,FALSE),"")</f>
        <v/>
      </c>
      <c r="E151" s="120">
        <v>150</v>
      </c>
      <c r="F151" s="224" t="e">
        <f t="shared" si="4"/>
        <v>#REF!</v>
      </c>
      <c r="G151" s="120"/>
      <c r="H151" s="120"/>
      <c r="I151" s="120"/>
      <c r="J151" s="120"/>
      <c r="K151" s="120"/>
    </row>
    <row r="152" spans="1:46" ht="16.5" customHeight="1" x14ac:dyDescent="0.25">
      <c r="A152" s="120">
        <v>151</v>
      </c>
      <c r="B152" s="120" t="e">
        <f>IF(#REF!="","",#REF!)</f>
        <v>#REF!</v>
      </c>
      <c r="C152" s="120" t="str">
        <f>IFERROR(VLOOKUP(B152,#REF!,5,FALSE),"")</f>
        <v/>
      </c>
      <c r="D152" s="223" t="str">
        <f>IFERROR(VLOOKUP(B152,#REF!,4,FALSE),"")</f>
        <v/>
      </c>
      <c r="E152" s="120">
        <v>151</v>
      </c>
      <c r="F152" s="224" t="e">
        <f t="shared" si="4"/>
        <v>#REF!</v>
      </c>
      <c r="G152" s="120"/>
      <c r="H152" s="120"/>
      <c r="I152" s="120"/>
      <c r="J152" s="120"/>
      <c r="K152" s="120"/>
    </row>
    <row r="153" spans="1:46" ht="16.5" customHeight="1" x14ac:dyDescent="0.25">
      <c r="A153" s="120">
        <v>152</v>
      </c>
      <c r="B153" s="120" t="e">
        <f>IF(#REF!="","",#REF!)</f>
        <v>#REF!</v>
      </c>
      <c r="C153" s="120" t="str">
        <f>IFERROR(VLOOKUP(B153,#REF!,5,FALSE),"")</f>
        <v/>
      </c>
      <c r="D153" s="223" t="str">
        <f>IFERROR(VLOOKUP(B153,#REF!,4,FALSE),"")</f>
        <v/>
      </c>
      <c r="E153" s="120">
        <v>152</v>
      </c>
      <c r="F153" s="224" t="e">
        <f t="shared" si="4"/>
        <v>#REF!</v>
      </c>
      <c r="G153" s="120"/>
      <c r="H153" s="120"/>
      <c r="I153" s="120"/>
      <c r="J153" s="120"/>
      <c r="K153" s="120"/>
    </row>
    <row r="154" spans="1:46" ht="16.5" customHeight="1" x14ac:dyDescent="0.25">
      <c r="A154" s="120">
        <v>153</v>
      </c>
      <c r="B154" s="120" t="e">
        <f>IF(#REF!="","",#REF!)</f>
        <v>#REF!</v>
      </c>
      <c r="C154" s="120" t="str">
        <f>IFERROR(VLOOKUP(B154,#REF!,5,FALSE),"")</f>
        <v/>
      </c>
      <c r="D154" s="223" t="str">
        <f>IFERROR(VLOOKUP(B154,#REF!,4,FALSE),"")</f>
        <v/>
      </c>
      <c r="E154" s="120">
        <v>153</v>
      </c>
      <c r="F154" s="224" t="e">
        <f t="shared" si="4"/>
        <v>#REF!</v>
      </c>
      <c r="G154" s="120"/>
      <c r="H154" s="120"/>
      <c r="I154" s="120"/>
      <c r="J154" s="120"/>
      <c r="K154" s="120"/>
    </row>
    <row r="155" spans="1:46" ht="16.5" customHeight="1" x14ac:dyDescent="0.25">
      <c r="A155" s="120">
        <v>154</v>
      </c>
      <c r="B155" s="120" t="e">
        <f>IF(#REF!="","",#REF!)</f>
        <v>#REF!</v>
      </c>
      <c r="C155" s="120" t="str">
        <f>IFERROR(VLOOKUP(B155,#REF!,5,FALSE),"")</f>
        <v/>
      </c>
      <c r="D155" s="223" t="str">
        <f>IFERROR(VLOOKUP(B155,#REF!,4,FALSE),"")</f>
        <v/>
      </c>
      <c r="E155" s="120">
        <v>154</v>
      </c>
      <c r="F155" s="224" t="e">
        <f t="shared" si="4"/>
        <v>#REF!</v>
      </c>
      <c r="G155" s="120"/>
      <c r="H155" s="120"/>
      <c r="I155" s="120"/>
      <c r="J155" s="120"/>
      <c r="K155" s="120"/>
    </row>
    <row r="156" spans="1:46" ht="16.5" customHeight="1" x14ac:dyDescent="0.25">
      <c r="A156" s="120">
        <v>155</v>
      </c>
      <c r="B156" s="120" t="e">
        <f>IF(#REF!="","",#REF!)</f>
        <v>#REF!</v>
      </c>
      <c r="C156" s="120" t="str">
        <f>IFERROR(VLOOKUP(B156,#REF!,5,FALSE),"")</f>
        <v/>
      </c>
      <c r="D156" s="223" t="str">
        <f>IFERROR(VLOOKUP(B156,#REF!,4,FALSE),"")</f>
        <v/>
      </c>
      <c r="E156" s="120">
        <v>155</v>
      </c>
      <c r="F156" s="224" t="e">
        <f t="shared" ref="F156:F205" si="5">B156</f>
        <v>#REF!</v>
      </c>
      <c r="G156" s="120"/>
      <c r="H156" s="120"/>
      <c r="I156" s="120"/>
      <c r="J156" s="120"/>
      <c r="K156" s="120"/>
    </row>
    <row r="157" spans="1:46" ht="16.5" customHeight="1" x14ac:dyDescent="0.25">
      <c r="A157" s="120">
        <v>156</v>
      </c>
      <c r="B157" s="120" t="e">
        <f>IF(#REF!="","",#REF!)</f>
        <v>#REF!</v>
      </c>
      <c r="C157" s="120" t="str">
        <f>IFERROR(VLOOKUP(B157,#REF!,5,FALSE),"")</f>
        <v/>
      </c>
      <c r="D157" s="223" t="str">
        <f>IFERROR(VLOOKUP(B157,#REF!,4,FALSE),"")</f>
        <v/>
      </c>
      <c r="E157" s="120">
        <v>156</v>
      </c>
      <c r="F157" s="224" t="e">
        <f t="shared" si="5"/>
        <v>#REF!</v>
      </c>
      <c r="G157" s="120"/>
      <c r="H157" s="120"/>
      <c r="I157" s="120"/>
      <c r="J157" s="120"/>
      <c r="K157" s="120"/>
    </row>
    <row r="158" spans="1:46" ht="16.5" customHeight="1" x14ac:dyDescent="0.25">
      <c r="A158" s="120">
        <v>157</v>
      </c>
      <c r="B158" s="120" t="e">
        <f>IF(#REF!="","",#REF!)</f>
        <v>#REF!</v>
      </c>
      <c r="C158" s="120" t="str">
        <f>IFERROR(VLOOKUP(B158,#REF!,5,FALSE),"")</f>
        <v/>
      </c>
      <c r="D158" s="223" t="str">
        <f>IFERROR(VLOOKUP(B158,#REF!,4,FALSE),"")</f>
        <v/>
      </c>
      <c r="E158" s="120">
        <v>157</v>
      </c>
      <c r="F158" s="224" t="e">
        <f t="shared" si="5"/>
        <v>#REF!</v>
      </c>
      <c r="G158" s="120"/>
      <c r="H158" s="120"/>
      <c r="I158" s="120"/>
      <c r="J158" s="120"/>
      <c r="K158" s="120"/>
    </row>
    <row r="159" spans="1:46" ht="16.5" customHeight="1" x14ac:dyDescent="0.25">
      <c r="A159" s="120">
        <v>158</v>
      </c>
      <c r="B159" s="120" t="e">
        <f>IF(#REF!="","",#REF!)</f>
        <v>#REF!</v>
      </c>
      <c r="C159" s="120" t="str">
        <f>IFERROR(VLOOKUP(B159,#REF!,5,FALSE),"")</f>
        <v/>
      </c>
      <c r="D159" s="223" t="str">
        <f>IFERROR(VLOOKUP(B159,#REF!,4,FALSE),"")</f>
        <v/>
      </c>
      <c r="E159" s="120">
        <v>158</v>
      </c>
      <c r="F159" s="224" t="e">
        <f t="shared" si="5"/>
        <v>#REF!</v>
      </c>
      <c r="G159" s="120"/>
      <c r="H159" s="120"/>
      <c r="I159" s="120"/>
      <c r="J159" s="120"/>
      <c r="K159" s="120"/>
    </row>
    <row r="160" spans="1:46" ht="16.5" customHeight="1" x14ac:dyDescent="0.25">
      <c r="A160" s="120">
        <v>159</v>
      </c>
      <c r="B160" s="120" t="e">
        <f>IF(#REF!="","",#REF!)</f>
        <v>#REF!</v>
      </c>
      <c r="C160" s="120" t="str">
        <f>IFERROR(VLOOKUP(B160,#REF!,5,FALSE),"")</f>
        <v/>
      </c>
      <c r="D160" s="223" t="str">
        <f>IFERROR(VLOOKUP(B160,#REF!,4,FALSE),"")</f>
        <v/>
      </c>
      <c r="E160" s="120">
        <v>159</v>
      </c>
      <c r="F160" s="224" t="e">
        <f t="shared" si="5"/>
        <v>#REF!</v>
      </c>
      <c r="G160" s="120"/>
      <c r="H160" s="120"/>
      <c r="I160" s="120"/>
      <c r="J160" s="120"/>
      <c r="K160" s="120"/>
    </row>
    <row r="161" spans="1:11" ht="16.5" customHeight="1" x14ac:dyDescent="0.25">
      <c r="A161" s="120">
        <v>160</v>
      </c>
      <c r="B161" s="120" t="e">
        <f>IF(#REF!="","",#REF!)</f>
        <v>#REF!</v>
      </c>
      <c r="C161" s="120" t="str">
        <f>IFERROR(VLOOKUP(B161,#REF!,5,FALSE),"")</f>
        <v/>
      </c>
      <c r="D161" s="223" t="str">
        <f>IFERROR(VLOOKUP(B161,#REF!,4,FALSE),"")</f>
        <v/>
      </c>
      <c r="E161" s="120">
        <v>160</v>
      </c>
      <c r="F161" s="224" t="e">
        <f t="shared" si="5"/>
        <v>#REF!</v>
      </c>
      <c r="G161" s="120"/>
      <c r="H161" s="120"/>
      <c r="I161" s="120"/>
      <c r="J161" s="120"/>
      <c r="K161" s="120"/>
    </row>
    <row r="162" spans="1:11" ht="16.5" customHeight="1" x14ac:dyDescent="0.25">
      <c r="A162" s="120">
        <v>161</v>
      </c>
      <c r="B162" s="120" t="e">
        <f>IF(#REF!="","",#REF!)</f>
        <v>#REF!</v>
      </c>
      <c r="C162" s="120" t="str">
        <f>IFERROR(VLOOKUP(B162,#REF!,5,FALSE),"")</f>
        <v/>
      </c>
      <c r="D162" s="223" t="str">
        <f>IFERROR(VLOOKUP(B162,#REF!,4,FALSE),"")</f>
        <v/>
      </c>
      <c r="E162" s="120">
        <v>161</v>
      </c>
      <c r="F162" s="224" t="e">
        <f t="shared" si="5"/>
        <v>#REF!</v>
      </c>
      <c r="G162" s="120"/>
      <c r="H162" s="120"/>
      <c r="I162" s="120"/>
      <c r="J162" s="120"/>
      <c r="K162" s="120"/>
    </row>
    <row r="163" spans="1:11" ht="16.5" customHeight="1" x14ac:dyDescent="0.25">
      <c r="A163" s="120">
        <v>162</v>
      </c>
      <c r="B163" s="120" t="e">
        <f>IF(#REF!="","",#REF!)</f>
        <v>#REF!</v>
      </c>
      <c r="C163" s="120" t="str">
        <f>IFERROR(VLOOKUP(B163,#REF!,5,FALSE),"")</f>
        <v/>
      </c>
      <c r="D163" s="223" t="str">
        <f>IFERROR(VLOOKUP(B163,#REF!,4,FALSE),"")</f>
        <v/>
      </c>
      <c r="E163" s="120">
        <v>162</v>
      </c>
      <c r="F163" s="224" t="e">
        <f t="shared" si="5"/>
        <v>#REF!</v>
      </c>
      <c r="G163" s="120"/>
      <c r="H163" s="120"/>
      <c r="I163" s="120"/>
      <c r="J163" s="120"/>
      <c r="K163" s="120"/>
    </row>
    <row r="164" spans="1:11" ht="16.5" customHeight="1" x14ac:dyDescent="0.25">
      <c r="A164" s="120">
        <v>163</v>
      </c>
      <c r="B164" s="120" t="e">
        <f>IF(#REF!="","",#REF!)</f>
        <v>#REF!</v>
      </c>
      <c r="C164" s="120" t="str">
        <f>IFERROR(VLOOKUP(B164,#REF!,5,FALSE),"")</f>
        <v/>
      </c>
      <c r="D164" s="223" t="str">
        <f>IFERROR(VLOOKUP(B164,#REF!,4,FALSE),"")</f>
        <v/>
      </c>
      <c r="E164" s="120">
        <v>163</v>
      </c>
      <c r="F164" s="224" t="e">
        <f t="shared" si="5"/>
        <v>#REF!</v>
      </c>
      <c r="G164" s="120"/>
      <c r="H164" s="120"/>
      <c r="I164" s="120"/>
      <c r="J164" s="120"/>
      <c r="K164" s="120"/>
    </row>
    <row r="165" spans="1:11" ht="16.5" customHeight="1" x14ac:dyDescent="0.25">
      <c r="A165" s="120">
        <v>164</v>
      </c>
      <c r="B165" s="120" t="e">
        <f>IF(#REF!="","",#REF!)</f>
        <v>#REF!</v>
      </c>
      <c r="C165" s="120" t="str">
        <f>IFERROR(VLOOKUP(B165,#REF!,5,FALSE),"")</f>
        <v/>
      </c>
      <c r="D165" s="223" t="str">
        <f>IFERROR(VLOOKUP(B165,#REF!,4,FALSE),"")</f>
        <v/>
      </c>
      <c r="E165" s="120">
        <v>164</v>
      </c>
      <c r="F165" s="224" t="e">
        <f t="shared" si="5"/>
        <v>#REF!</v>
      </c>
      <c r="G165" s="120"/>
      <c r="H165" s="120"/>
      <c r="I165" s="120"/>
      <c r="J165" s="120"/>
      <c r="K165" s="120"/>
    </row>
    <row r="166" spans="1:11" ht="16.5" customHeight="1" x14ac:dyDescent="0.25">
      <c r="A166" s="120">
        <v>165</v>
      </c>
      <c r="B166" s="120" t="e">
        <f>IF(#REF!="","",#REF!)</f>
        <v>#REF!</v>
      </c>
      <c r="C166" s="120" t="str">
        <f>IFERROR(VLOOKUP(B166,#REF!,5,FALSE),"")</f>
        <v/>
      </c>
      <c r="D166" s="223" t="str">
        <f>IFERROR(VLOOKUP(B166,#REF!,4,FALSE),"")</f>
        <v/>
      </c>
      <c r="E166" s="120">
        <v>165</v>
      </c>
      <c r="F166" s="224" t="e">
        <f t="shared" si="5"/>
        <v>#REF!</v>
      </c>
      <c r="G166" s="120"/>
      <c r="H166" s="120"/>
      <c r="I166" s="120"/>
      <c r="J166" s="120"/>
      <c r="K166" s="120"/>
    </row>
    <row r="167" spans="1:11" ht="16.5" customHeight="1" x14ac:dyDescent="0.25">
      <c r="A167" s="120">
        <v>166</v>
      </c>
      <c r="B167" s="120" t="e">
        <f>IF(#REF!="","",#REF!)</f>
        <v>#REF!</v>
      </c>
      <c r="C167" s="120" t="str">
        <f>IFERROR(VLOOKUP(B167,#REF!,5,FALSE),"")</f>
        <v/>
      </c>
      <c r="D167" s="223" t="str">
        <f>IFERROR(VLOOKUP(B167,#REF!,4,FALSE),"")</f>
        <v/>
      </c>
      <c r="E167" s="120">
        <v>166</v>
      </c>
      <c r="F167" s="224" t="e">
        <f t="shared" si="5"/>
        <v>#REF!</v>
      </c>
      <c r="G167" s="120"/>
      <c r="H167" s="120"/>
      <c r="I167" s="120"/>
      <c r="J167" s="120"/>
      <c r="K167" s="120"/>
    </row>
    <row r="168" spans="1:11" ht="16.5" customHeight="1" x14ac:dyDescent="0.25">
      <c r="A168" s="120">
        <v>167</v>
      </c>
      <c r="B168" s="120" t="e">
        <f>IF(#REF!="","",#REF!)</f>
        <v>#REF!</v>
      </c>
      <c r="C168" s="120" t="str">
        <f>IFERROR(VLOOKUP(B168,#REF!,5,FALSE),"")</f>
        <v/>
      </c>
      <c r="D168" s="223" t="str">
        <f>IFERROR(VLOOKUP(B168,#REF!,4,FALSE),"")</f>
        <v/>
      </c>
      <c r="E168" s="120">
        <v>167</v>
      </c>
      <c r="F168" s="224" t="e">
        <f t="shared" si="5"/>
        <v>#REF!</v>
      </c>
      <c r="G168" s="120"/>
      <c r="H168" s="120"/>
      <c r="I168" s="120"/>
      <c r="J168" s="120"/>
      <c r="K168" s="120"/>
    </row>
    <row r="169" spans="1:11" ht="16.5" customHeight="1" x14ac:dyDescent="0.25">
      <c r="A169" s="120">
        <v>168</v>
      </c>
      <c r="B169" s="120" t="e">
        <f>IF(#REF!="","",#REF!)</f>
        <v>#REF!</v>
      </c>
      <c r="C169" s="120" t="str">
        <f>IFERROR(VLOOKUP(B169,#REF!,5,FALSE),"")</f>
        <v/>
      </c>
      <c r="D169" s="223" t="str">
        <f>IFERROR(VLOOKUP(B169,#REF!,4,FALSE),"")</f>
        <v/>
      </c>
      <c r="E169" s="120">
        <v>168</v>
      </c>
      <c r="F169" s="224" t="e">
        <f t="shared" si="5"/>
        <v>#REF!</v>
      </c>
      <c r="G169" s="120"/>
      <c r="H169" s="120"/>
      <c r="I169" s="120"/>
      <c r="J169" s="120"/>
      <c r="K169" s="120"/>
    </row>
    <row r="170" spans="1:11" ht="16.5" customHeight="1" x14ac:dyDescent="0.25">
      <c r="A170" s="120">
        <v>169</v>
      </c>
      <c r="B170" s="120" t="e">
        <f>IF(#REF!="","",#REF!)</f>
        <v>#REF!</v>
      </c>
      <c r="C170" s="120" t="str">
        <f>IFERROR(VLOOKUP(B170,#REF!,5,FALSE),"")</f>
        <v/>
      </c>
      <c r="D170" s="223" t="str">
        <f>IFERROR(VLOOKUP(B170,#REF!,4,FALSE),"")</f>
        <v/>
      </c>
      <c r="E170" s="120">
        <v>169</v>
      </c>
      <c r="F170" s="224" t="e">
        <f t="shared" si="5"/>
        <v>#REF!</v>
      </c>
      <c r="G170" s="120"/>
      <c r="H170" s="120"/>
      <c r="I170" s="120"/>
      <c r="J170" s="120"/>
      <c r="K170" s="120"/>
    </row>
    <row r="171" spans="1:11" ht="16.5" customHeight="1" x14ac:dyDescent="0.25">
      <c r="A171" s="120">
        <v>170</v>
      </c>
      <c r="B171" s="120" t="e">
        <f>IF(#REF!="","",#REF!)</f>
        <v>#REF!</v>
      </c>
      <c r="C171" s="120" t="str">
        <f>IFERROR(VLOOKUP(B171,#REF!,5,FALSE),"")</f>
        <v/>
      </c>
      <c r="D171" s="223" t="str">
        <f>IFERROR(VLOOKUP(B171,#REF!,4,FALSE),"")</f>
        <v/>
      </c>
      <c r="E171" s="120">
        <v>170</v>
      </c>
      <c r="F171" s="224" t="e">
        <f t="shared" si="5"/>
        <v>#REF!</v>
      </c>
      <c r="G171" s="120"/>
      <c r="H171" s="120"/>
      <c r="I171" s="120"/>
      <c r="J171" s="120"/>
      <c r="K171" s="120"/>
    </row>
    <row r="172" spans="1:11" ht="16.5" customHeight="1" x14ac:dyDescent="0.25">
      <c r="A172" s="120">
        <v>171</v>
      </c>
      <c r="B172" s="120" t="e">
        <f>IF(#REF!="","",#REF!)</f>
        <v>#REF!</v>
      </c>
      <c r="C172" s="120" t="str">
        <f>IFERROR(VLOOKUP(B172,#REF!,5,FALSE),"")</f>
        <v/>
      </c>
      <c r="D172" s="223" t="str">
        <f>IFERROR(VLOOKUP(B172,#REF!,4,FALSE),"")</f>
        <v/>
      </c>
      <c r="E172" s="120">
        <v>171</v>
      </c>
      <c r="F172" s="224" t="e">
        <f t="shared" si="5"/>
        <v>#REF!</v>
      </c>
      <c r="G172" s="120"/>
      <c r="H172" s="120"/>
      <c r="I172" s="120"/>
      <c r="J172" s="120"/>
      <c r="K172" s="120"/>
    </row>
    <row r="173" spans="1:11" ht="16.5" customHeight="1" x14ac:dyDescent="0.25">
      <c r="A173" s="120">
        <v>172</v>
      </c>
      <c r="B173" s="120" t="e">
        <f>IF(#REF!="","",#REF!)</f>
        <v>#REF!</v>
      </c>
      <c r="C173" s="120" t="str">
        <f>IFERROR(VLOOKUP(B173,#REF!,5,FALSE),"")</f>
        <v/>
      </c>
      <c r="D173" s="223" t="str">
        <f>IFERROR(VLOOKUP(B173,#REF!,4,FALSE),"")</f>
        <v/>
      </c>
      <c r="E173" s="120">
        <v>172</v>
      </c>
      <c r="F173" s="224" t="e">
        <f t="shared" si="5"/>
        <v>#REF!</v>
      </c>
      <c r="G173" s="120"/>
      <c r="H173" s="120"/>
      <c r="I173" s="120"/>
      <c r="J173" s="120"/>
      <c r="K173" s="120"/>
    </row>
    <row r="174" spans="1:11" ht="16.5" customHeight="1" x14ac:dyDescent="0.25">
      <c r="A174" s="120">
        <v>173</v>
      </c>
      <c r="B174" s="120" t="e">
        <f>IF(#REF!="","",#REF!)</f>
        <v>#REF!</v>
      </c>
      <c r="C174" s="120" t="str">
        <f>IFERROR(VLOOKUP(B174,#REF!,5,FALSE),"")</f>
        <v/>
      </c>
      <c r="D174" s="223" t="str">
        <f>IFERROR(VLOOKUP(B174,#REF!,4,FALSE),"")</f>
        <v/>
      </c>
      <c r="E174" s="120">
        <v>173</v>
      </c>
      <c r="F174" s="224" t="e">
        <f t="shared" si="5"/>
        <v>#REF!</v>
      </c>
      <c r="G174" s="120"/>
      <c r="H174" s="120"/>
      <c r="I174" s="120"/>
      <c r="J174" s="120"/>
      <c r="K174" s="120"/>
    </row>
    <row r="175" spans="1:11" ht="16.5" customHeight="1" x14ac:dyDescent="0.25">
      <c r="A175" s="120">
        <v>174</v>
      </c>
      <c r="B175" s="120" t="e">
        <f>IF(#REF!="","",#REF!)</f>
        <v>#REF!</v>
      </c>
      <c r="C175" s="120" t="str">
        <f>IFERROR(VLOOKUP(B175,#REF!,5,FALSE),"")</f>
        <v/>
      </c>
      <c r="D175" s="223" t="str">
        <f>IFERROR(VLOOKUP(B175,#REF!,4,FALSE),"")</f>
        <v/>
      </c>
      <c r="E175" s="120">
        <v>174</v>
      </c>
      <c r="F175" s="224" t="e">
        <f t="shared" si="5"/>
        <v>#REF!</v>
      </c>
      <c r="G175" s="120"/>
      <c r="H175" s="120"/>
      <c r="I175" s="120"/>
      <c r="J175" s="120"/>
      <c r="K175" s="120"/>
    </row>
    <row r="176" spans="1:11" ht="16.5" customHeight="1" x14ac:dyDescent="0.25">
      <c r="A176" s="120">
        <v>175</v>
      </c>
      <c r="B176" s="120" t="e">
        <f>IF(#REF!="","",#REF!)</f>
        <v>#REF!</v>
      </c>
      <c r="C176" s="120" t="str">
        <f>IFERROR(VLOOKUP(B176,#REF!,5,FALSE),"")</f>
        <v/>
      </c>
      <c r="D176" s="223" t="str">
        <f>IFERROR(VLOOKUP(B176,#REF!,4,FALSE),"")</f>
        <v/>
      </c>
      <c r="E176" s="120">
        <v>175</v>
      </c>
      <c r="F176" s="224" t="e">
        <f t="shared" si="5"/>
        <v>#REF!</v>
      </c>
      <c r="G176" s="120"/>
      <c r="H176" s="120"/>
      <c r="I176" s="120"/>
      <c r="J176" s="120"/>
      <c r="K176" s="120"/>
    </row>
    <row r="177" spans="1:11" ht="16.5" customHeight="1" x14ac:dyDescent="0.25">
      <c r="A177" s="120">
        <v>176</v>
      </c>
      <c r="B177" s="120" t="e">
        <f>IF(#REF!="","",#REF!)</f>
        <v>#REF!</v>
      </c>
      <c r="C177" s="120" t="str">
        <f>IFERROR(VLOOKUP(B177,#REF!,5,FALSE),"")</f>
        <v/>
      </c>
      <c r="D177" s="223" t="str">
        <f>IFERROR(VLOOKUP(B177,#REF!,4,FALSE),"")</f>
        <v/>
      </c>
      <c r="E177" s="120">
        <v>176</v>
      </c>
      <c r="F177" s="224" t="e">
        <f t="shared" si="5"/>
        <v>#REF!</v>
      </c>
      <c r="G177" s="120"/>
      <c r="H177" s="120"/>
      <c r="I177" s="120"/>
      <c r="J177" s="120"/>
      <c r="K177" s="120"/>
    </row>
    <row r="178" spans="1:11" ht="16.5" customHeight="1" x14ac:dyDescent="0.25">
      <c r="A178" s="120">
        <v>177</v>
      </c>
      <c r="B178" s="120" t="e">
        <f>IF(#REF!="","",#REF!)</f>
        <v>#REF!</v>
      </c>
      <c r="C178" s="120" t="str">
        <f>IFERROR(VLOOKUP(B178,#REF!,5,FALSE),"")</f>
        <v/>
      </c>
      <c r="D178" s="223" t="str">
        <f>IFERROR(VLOOKUP(B178,#REF!,4,FALSE),"")</f>
        <v/>
      </c>
      <c r="E178" s="120">
        <v>177</v>
      </c>
      <c r="F178" s="224" t="e">
        <f t="shared" si="5"/>
        <v>#REF!</v>
      </c>
      <c r="G178" s="120"/>
      <c r="H178" s="120"/>
      <c r="I178" s="120"/>
      <c r="J178" s="120"/>
      <c r="K178" s="120"/>
    </row>
    <row r="179" spans="1:11" ht="16.5" customHeight="1" x14ac:dyDescent="0.25">
      <c r="A179" s="120">
        <v>178</v>
      </c>
      <c r="B179" s="120" t="e">
        <f>IF(#REF!="","",#REF!)</f>
        <v>#REF!</v>
      </c>
      <c r="C179" s="120" t="str">
        <f>IFERROR(VLOOKUP(B179,#REF!,5,FALSE),"")</f>
        <v/>
      </c>
      <c r="D179" s="223" t="str">
        <f>IFERROR(VLOOKUP(B179,#REF!,4,FALSE),"")</f>
        <v/>
      </c>
      <c r="E179" s="120">
        <v>178</v>
      </c>
      <c r="F179" s="224" t="e">
        <f t="shared" si="5"/>
        <v>#REF!</v>
      </c>
      <c r="G179" s="120"/>
      <c r="H179" s="120"/>
      <c r="I179" s="120"/>
      <c r="J179" s="120"/>
      <c r="K179" s="120"/>
    </row>
    <row r="180" spans="1:11" ht="16.5" customHeight="1" x14ac:dyDescent="0.25">
      <c r="A180" s="120">
        <v>179</v>
      </c>
      <c r="B180" s="120" t="e">
        <f>IF(#REF!="","",#REF!)</f>
        <v>#REF!</v>
      </c>
      <c r="C180" s="120" t="str">
        <f>IFERROR(VLOOKUP(B180,#REF!,5,FALSE),"")</f>
        <v/>
      </c>
      <c r="D180" s="223" t="str">
        <f>IFERROR(VLOOKUP(B180,#REF!,4,FALSE),"")</f>
        <v/>
      </c>
      <c r="E180" s="120">
        <v>179</v>
      </c>
      <c r="F180" s="224" t="e">
        <f t="shared" si="5"/>
        <v>#REF!</v>
      </c>
      <c r="G180" s="120"/>
      <c r="H180" s="120"/>
      <c r="I180" s="120"/>
      <c r="J180" s="120"/>
      <c r="K180" s="120"/>
    </row>
    <row r="181" spans="1:11" ht="16.5" customHeight="1" x14ac:dyDescent="0.25">
      <c r="A181" s="120">
        <v>180</v>
      </c>
      <c r="B181" s="120" t="e">
        <f>IF(#REF!="","",#REF!)</f>
        <v>#REF!</v>
      </c>
      <c r="C181" s="120" t="str">
        <f>IFERROR(VLOOKUP(B181,#REF!,5,FALSE),"")</f>
        <v/>
      </c>
      <c r="D181" s="223" t="str">
        <f>IFERROR(VLOOKUP(B181,#REF!,4,FALSE),"")</f>
        <v/>
      </c>
      <c r="E181" s="120">
        <v>180</v>
      </c>
      <c r="F181" s="224" t="e">
        <f t="shared" si="5"/>
        <v>#REF!</v>
      </c>
      <c r="G181" s="120"/>
      <c r="H181" s="120"/>
      <c r="I181" s="120"/>
      <c r="J181" s="120"/>
      <c r="K181" s="120"/>
    </row>
    <row r="182" spans="1:11" ht="16.5" customHeight="1" x14ac:dyDescent="0.25">
      <c r="A182" s="120">
        <v>181</v>
      </c>
      <c r="B182" s="120" t="e">
        <f>IF(#REF!="","",#REF!)</f>
        <v>#REF!</v>
      </c>
      <c r="C182" s="120" t="str">
        <f>IFERROR(VLOOKUP(B182,#REF!,5,FALSE),"")</f>
        <v/>
      </c>
      <c r="D182" s="223" t="str">
        <f>IFERROR(VLOOKUP(B182,#REF!,4,FALSE),"")</f>
        <v/>
      </c>
      <c r="E182" s="120">
        <v>181</v>
      </c>
      <c r="F182" s="224" t="e">
        <f t="shared" si="5"/>
        <v>#REF!</v>
      </c>
      <c r="G182" s="120"/>
      <c r="H182" s="120"/>
      <c r="I182" s="120"/>
      <c r="J182" s="120"/>
      <c r="K182" s="120"/>
    </row>
    <row r="183" spans="1:11" ht="16.5" customHeight="1" x14ac:dyDescent="0.25">
      <c r="A183" s="120">
        <v>182</v>
      </c>
      <c r="B183" s="120" t="e">
        <f>IF(#REF!="","",#REF!)</f>
        <v>#REF!</v>
      </c>
      <c r="C183" s="120" t="str">
        <f>IFERROR(VLOOKUP(B183,#REF!,5,FALSE),"")</f>
        <v/>
      </c>
      <c r="D183" s="223" t="str">
        <f>IFERROR(VLOOKUP(B183,#REF!,4,FALSE),"")</f>
        <v/>
      </c>
      <c r="E183" s="120">
        <v>182</v>
      </c>
      <c r="F183" s="224" t="e">
        <f t="shared" si="5"/>
        <v>#REF!</v>
      </c>
      <c r="G183" s="120"/>
      <c r="H183" s="120"/>
      <c r="I183" s="120"/>
      <c r="J183" s="120"/>
      <c r="K183" s="120"/>
    </row>
    <row r="184" spans="1:11" ht="16.5" customHeight="1" x14ac:dyDescent="0.25">
      <c r="A184" s="120">
        <v>183</v>
      </c>
      <c r="B184" s="120" t="e">
        <f>IF(#REF!="","",#REF!)</f>
        <v>#REF!</v>
      </c>
      <c r="C184" s="120" t="str">
        <f>IFERROR(VLOOKUP(B184,#REF!,5,FALSE),"")</f>
        <v/>
      </c>
      <c r="D184" s="223" t="str">
        <f>IFERROR(VLOOKUP(B184,#REF!,4,FALSE),"")</f>
        <v/>
      </c>
      <c r="E184" s="120">
        <v>183</v>
      </c>
      <c r="F184" s="224" t="e">
        <f t="shared" si="5"/>
        <v>#REF!</v>
      </c>
      <c r="G184" s="120"/>
      <c r="H184" s="120"/>
      <c r="I184" s="120"/>
      <c r="J184" s="120"/>
      <c r="K184" s="120"/>
    </row>
    <row r="185" spans="1:11" ht="16.5" customHeight="1" x14ac:dyDescent="0.25">
      <c r="A185" s="120">
        <v>184</v>
      </c>
      <c r="B185" s="120" t="e">
        <f>IF(#REF!="","",#REF!)</f>
        <v>#REF!</v>
      </c>
      <c r="C185" s="120" t="str">
        <f>IFERROR(VLOOKUP(B185,#REF!,5,FALSE),"")</f>
        <v/>
      </c>
      <c r="D185" s="223" t="str">
        <f>IFERROR(VLOOKUP(B185,#REF!,4,FALSE),"")</f>
        <v/>
      </c>
      <c r="E185" s="120">
        <v>184</v>
      </c>
      <c r="F185" s="224" t="e">
        <f t="shared" si="5"/>
        <v>#REF!</v>
      </c>
      <c r="G185" s="120"/>
      <c r="H185" s="120"/>
      <c r="I185" s="120"/>
      <c r="J185" s="120"/>
      <c r="K185" s="120"/>
    </row>
    <row r="186" spans="1:11" ht="16.5" customHeight="1" x14ac:dyDescent="0.25">
      <c r="A186" s="120">
        <v>185</v>
      </c>
      <c r="B186" s="120" t="e">
        <f>IF(#REF!="","",#REF!)</f>
        <v>#REF!</v>
      </c>
      <c r="C186" s="120" t="str">
        <f>IFERROR(VLOOKUP(B186,#REF!,5,FALSE),"")</f>
        <v/>
      </c>
      <c r="D186" s="223" t="str">
        <f>IFERROR(VLOOKUP(B186,#REF!,4,FALSE),"")</f>
        <v/>
      </c>
      <c r="E186" s="120">
        <v>185</v>
      </c>
      <c r="F186" s="224" t="e">
        <f t="shared" si="5"/>
        <v>#REF!</v>
      </c>
      <c r="G186" s="120"/>
      <c r="H186" s="120"/>
      <c r="I186" s="120"/>
      <c r="J186" s="120"/>
      <c r="K186" s="120"/>
    </row>
    <row r="187" spans="1:11" ht="16.5" customHeight="1" x14ac:dyDescent="0.25">
      <c r="A187" s="120">
        <v>186</v>
      </c>
      <c r="B187" s="120" t="e">
        <f>IF(#REF!="","",#REF!)</f>
        <v>#REF!</v>
      </c>
      <c r="C187" s="120" t="str">
        <f>IFERROR(VLOOKUP(B187,#REF!,5,FALSE),"")</f>
        <v/>
      </c>
      <c r="D187" s="223" t="str">
        <f>IFERROR(VLOOKUP(B187,#REF!,4,FALSE),"")</f>
        <v/>
      </c>
      <c r="E187" s="120">
        <v>186</v>
      </c>
      <c r="F187" s="224" t="e">
        <f t="shared" si="5"/>
        <v>#REF!</v>
      </c>
      <c r="G187" s="120"/>
      <c r="H187" s="120"/>
      <c r="I187" s="120"/>
      <c r="J187" s="120"/>
      <c r="K187" s="120"/>
    </row>
    <row r="188" spans="1:11" ht="16.5" customHeight="1" x14ac:dyDescent="0.25">
      <c r="A188" s="120">
        <v>187</v>
      </c>
      <c r="B188" s="120" t="e">
        <f>IF(#REF!="","",#REF!)</f>
        <v>#REF!</v>
      </c>
      <c r="C188" s="120" t="str">
        <f>IFERROR(VLOOKUP(B188,#REF!,5,FALSE),"")</f>
        <v/>
      </c>
      <c r="D188" s="223" t="str">
        <f>IFERROR(VLOOKUP(B188,#REF!,4,FALSE),"")</f>
        <v/>
      </c>
      <c r="E188" s="120">
        <v>187</v>
      </c>
      <c r="F188" s="224" t="e">
        <f t="shared" si="5"/>
        <v>#REF!</v>
      </c>
      <c r="G188" s="120"/>
      <c r="H188" s="120"/>
      <c r="I188" s="120"/>
      <c r="J188" s="120"/>
      <c r="K188" s="120"/>
    </row>
    <row r="189" spans="1:11" ht="16.5" customHeight="1" x14ac:dyDescent="0.25">
      <c r="A189" s="120">
        <v>188</v>
      </c>
      <c r="B189" s="120" t="e">
        <f>IF(#REF!="","",#REF!)</f>
        <v>#REF!</v>
      </c>
      <c r="C189" s="120" t="str">
        <f>IFERROR(VLOOKUP(B189,#REF!,5,FALSE),"")</f>
        <v/>
      </c>
      <c r="D189" s="223" t="str">
        <f>IFERROR(VLOOKUP(B189,#REF!,4,FALSE),"")</f>
        <v/>
      </c>
      <c r="E189" s="120">
        <v>188</v>
      </c>
      <c r="F189" s="224" t="e">
        <f t="shared" si="5"/>
        <v>#REF!</v>
      </c>
      <c r="G189" s="120"/>
      <c r="H189" s="120"/>
      <c r="I189" s="120"/>
      <c r="J189" s="120"/>
      <c r="K189" s="120"/>
    </row>
    <row r="190" spans="1:11" ht="16.5" customHeight="1" x14ac:dyDescent="0.25">
      <c r="A190" s="120">
        <v>189</v>
      </c>
      <c r="B190" s="120" t="e">
        <f>IF(#REF!="","",#REF!)</f>
        <v>#REF!</v>
      </c>
      <c r="C190" s="120" t="str">
        <f>IFERROR(VLOOKUP(B190,#REF!,5,FALSE),"")</f>
        <v/>
      </c>
      <c r="D190" s="223" t="str">
        <f>IFERROR(VLOOKUP(B190,#REF!,4,FALSE),"")</f>
        <v/>
      </c>
      <c r="E190" s="120">
        <v>189</v>
      </c>
      <c r="F190" s="224" t="e">
        <f t="shared" si="5"/>
        <v>#REF!</v>
      </c>
      <c r="G190" s="120"/>
      <c r="H190" s="120"/>
      <c r="I190" s="120"/>
      <c r="J190" s="120"/>
      <c r="K190" s="120"/>
    </row>
    <row r="191" spans="1:11" ht="16.5" customHeight="1" x14ac:dyDescent="0.25">
      <c r="A191" s="120">
        <v>190</v>
      </c>
      <c r="B191" s="120" t="e">
        <f>IF(#REF!="","",#REF!)</f>
        <v>#REF!</v>
      </c>
      <c r="C191" s="120" t="str">
        <f>IFERROR(VLOOKUP(B191,#REF!,5,FALSE),"")</f>
        <v/>
      </c>
      <c r="D191" s="223" t="str">
        <f>IFERROR(VLOOKUP(B191,#REF!,4,FALSE),"")</f>
        <v/>
      </c>
      <c r="E191" s="120">
        <v>190</v>
      </c>
      <c r="F191" s="224" t="e">
        <f t="shared" si="5"/>
        <v>#REF!</v>
      </c>
      <c r="G191" s="120"/>
      <c r="H191" s="120"/>
      <c r="I191" s="120"/>
      <c r="J191" s="120"/>
      <c r="K191" s="120"/>
    </row>
    <row r="192" spans="1:11" ht="16.5" customHeight="1" x14ac:dyDescent="0.25">
      <c r="A192" s="120">
        <v>191</v>
      </c>
      <c r="B192" s="120" t="e">
        <f>IF(#REF!="","",#REF!)</f>
        <v>#REF!</v>
      </c>
      <c r="C192" s="120" t="str">
        <f>IFERROR(VLOOKUP(B192,#REF!,5,FALSE),"")</f>
        <v/>
      </c>
      <c r="D192" s="223" t="str">
        <f>IFERROR(VLOOKUP(B192,#REF!,4,FALSE),"")</f>
        <v/>
      </c>
      <c r="E192" s="120">
        <v>191</v>
      </c>
      <c r="F192" s="224" t="e">
        <f t="shared" si="5"/>
        <v>#REF!</v>
      </c>
      <c r="G192" s="120"/>
      <c r="H192" s="120"/>
      <c r="I192" s="120"/>
      <c r="J192" s="120"/>
      <c r="K192" s="120"/>
    </row>
    <row r="193" spans="1:11" ht="16.5" customHeight="1" x14ac:dyDescent="0.25">
      <c r="A193" s="120">
        <v>192</v>
      </c>
      <c r="B193" s="120" t="e">
        <f>IF(#REF!="","",#REF!)</f>
        <v>#REF!</v>
      </c>
      <c r="C193" s="120" t="str">
        <f>IFERROR(VLOOKUP(B193,#REF!,5,FALSE),"")</f>
        <v/>
      </c>
      <c r="D193" s="223" t="str">
        <f>IFERROR(VLOOKUP(B193,#REF!,4,FALSE),"")</f>
        <v/>
      </c>
      <c r="E193" s="120">
        <v>192</v>
      </c>
      <c r="F193" s="224" t="e">
        <f t="shared" si="5"/>
        <v>#REF!</v>
      </c>
      <c r="G193" s="120"/>
      <c r="H193" s="120"/>
      <c r="I193" s="120"/>
      <c r="J193" s="120"/>
      <c r="K193" s="120"/>
    </row>
    <row r="194" spans="1:11" ht="16.5" customHeight="1" x14ac:dyDescent="0.25">
      <c r="A194" s="120">
        <v>193</v>
      </c>
      <c r="B194" s="120" t="e">
        <f>IF(#REF!="","",#REF!)</f>
        <v>#REF!</v>
      </c>
      <c r="C194" s="120" t="str">
        <f>IFERROR(VLOOKUP(B194,#REF!,5,FALSE),"")</f>
        <v/>
      </c>
      <c r="D194" s="223" t="str">
        <f>IFERROR(VLOOKUP(B194,#REF!,4,FALSE),"")</f>
        <v/>
      </c>
      <c r="E194" s="120">
        <v>193</v>
      </c>
      <c r="F194" s="224" t="e">
        <f t="shared" si="5"/>
        <v>#REF!</v>
      </c>
      <c r="G194" s="120"/>
      <c r="H194" s="120"/>
      <c r="I194" s="120"/>
      <c r="J194" s="120"/>
      <c r="K194" s="120"/>
    </row>
    <row r="195" spans="1:11" ht="16.5" customHeight="1" x14ac:dyDescent="0.25">
      <c r="A195" s="120">
        <v>194</v>
      </c>
      <c r="B195" s="120" t="e">
        <f>IF(#REF!="","",#REF!)</f>
        <v>#REF!</v>
      </c>
      <c r="C195" s="120" t="str">
        <f>IFERROR(VLOOKUP(B195,#REF!,5,FALSE),"")</f>
        <v/>
      </c>
      <c r="D195" s="223" t="str">
        <f>IFERROR(VLOOKUP(B195,#REF!,4,FALSE),"")</f>
        <v/>
      </c>
      <c r="E195" s="120">
        <v>194</v>
      </c>
      <c r="F195" s="224" t="e">
        <f t="shared" si="5"/>
        <v>#REF!</v>
      </c>
      <c r="G195" s="120"/>
      <c r="H195" s="120"/>
      <c r="I195" s="120"/>
      <c r="J195" s="120"/>
      <c r="K195" s="120"/>
    </row>
    <row r="196" spans="1:11" ht="16.5" customHeight="1" x14ac:dyDescent="0.25">
      <c r="A196" s="120">
        <v>195</v>
      </c>
      <c r="B196" s="120" t="e">
        <f>IF(#REF!="","",#REF!)</f>
        <v>#REF!</v>
      </c>
      <c r="C196" s="120" t="str">
        <f>IFERROR(VLOOKUP(B196,#REF!,5,FALSE),"")</f>
        <v/>
      </c>
      <c r="D196" s="223" t="str">
        <f>IFERROR(VLOOKUP(B196,#REF!,4,FALSE),"")</f>
        <v/>
      </c>
      <c r="E196" s="120">
        <v>195</v>
      </c>
      <c r="F196" s="224" t="e">
        <f t="shared" si="5"/>
        <v>#REF!</v>
      </c>
      <c r="G196" s="120"/>
      <c r="H196" s="120"/>
      <c r="I196" s="120"/>
      <c r="J196" s="120"/>
      <c r="K196" s="120"/>
    </row>
    <row r="197" spans="1:11" ht="16.5" customHeight="1" x14ac:dyDescent="0.25">
      <c r="A197" s="120">
        <v>196</v>
      </c>
      <c r="B197" s="120" t="e">
        <f>IF(#REF!="","",#REF!)</f>
        <v>#REF!</v>
      </c>
      <c r="C197" s="120" t="str">
        <f>IFERROR(VLOOKUP(B197,#REF!,5,FALSE),"")</f>
        <v/>
      </c>
      <c r="D197" s="223" t="str">
        <f>IFERROR(VLOOKUP(B197,#REF!,4,FALSE),"")</f>
        <v/>
      </c>
      <c r="E197" s="120">
        <v>196</v>
      </c>
      <c r="F197" s="224" t="e">
        <f t="shared" si="5"/>
        <v>#REF!</v>
      </c>
      <c r="G197" s="120"/>
      <c r="H197" s="120"/>
      <c r="I197" s="120"/>
      <c r="J197" s="120"/>
      <c r="K197" s="120"/>
    </row>
    <row r="198" spans="1:11" ht="16.5" customHeight="1" x14ac:dyDescent="0.25">
      <c r="A198" s="120">
        <v>197</v>
      </c>
      <c r="B198" s="120" t="e">
        <f>IF(#REF!="","",#REF!)</f>
        <v>#REF!</v>
      </c>
      <c r="C198" s="120" t="str">
        <f>IFERROR(VLOOKUP(B198,#REF!,5,FALSE),"")</f>
        <v/>
      </c>
      <c r="D198" s="223" t="str">
        <f>IFERROR(VLOOKUP(B198,#REF!,4,FALSE),"")</f>
        <v/>
      </c>
      <c r="E198" s="120">
        <v>197</v>
      </c>
      <c r="F198" s="224" t="e">
        <f t="shared" si="5"/>
        <v>#REF!</v>
      </c>
      <c r="G198" s="120"/>
      <c r="H198" s="120"/>
      <c r="I198" s="120"/>
      <c r="J198" s="120"/>
      <c r="K198" s="120"/>
    </row>
    <row r="199" spans="1:11" ht="16.5" customHeight="1" x14ac:dyDescent="0.25">
      <c r="A199" s="120">
        <v>198</v>
      </c>
      <c r="B199" s="120" t="e">
        <f>IF(#REF!="","",#REF!)</f>
        <v>#REF!</v>
      </c>
      <c r="C199" s="120" t="str">
        <f>IFERROR(VLOOKUP(B199,#REF!,5,FALSE),"")</f>
        <v/>
      </c>
      <c r="D199" s="223" t="str">
        <f>IFERROR(VLOOKUP(B199,#REF!,4,FALSE),"")</f>
        <v/>
      </c>
      <c r="E199" s="120">
        <v>198</v>
      </c>
      <c r="F199" s="224" t="e">
        <f t="shared" si="5"/>
        <v>#REF!</v>
      </c>
      <c r="G199" s="120"/>
      <c r="H199" s="120"/>
      <c r="I199" s="120"/>
      <c r="J199" s="120"/>
      <c r="K199" s="120"/>
    </row>
    <row r="200" spans="1:11" ht="16.5" customHeight="1" x14ac:dyDescent="0.25">
      <c r="A200" s="120">
        <v>199</v>
      </c>
      <c r="B200" s="120" t="e">
        <f>IF(#REF!="","",#REF!)</f>
        <v>#REF!</v>
      </c>
      <c r="C200" s="120" t="str">
        <f>IFERROR(VLOOKUP(B200,#REF!,5,FALSE),"")</f>
        <v/>
      </c>
      <c r="D200" s="223" t="str">
        <f>IFERROR(VLOOKUP(B200,#REF!,4,FALSE),"")</f>
        <v/>
      </c>
      <c r="E200" s="120">
        <v>199</v>
      </c>
      <c r="F200" s="224" t="e">
        <f t="shared" si="5"/>
        <v>#REF!</v>
      </c>
      <c r="G200" s="120"/>
      <c r="H200" s="120"/>
      <c r="I200" s="120"/>
      <c r="J200" s="120"/>
      <c r="K200" s="120"/>
    </row>
    <row r="201" spans="1:11" ht="16.5" customHeight="1" x14ac:dyDescent="0.25">
      <c r="A201" s="120">
        <v>200</v>
      </c>
      <c r="B201" s="120" t="e">
        <f>IF(#REF!="","",#REF!)</f>
        <v>#REF!</v>
      </c>
      <c r="C201" s="120" t="str">
        <f>IFERROR(VLOOKUP(B201,#REF!,5,FALSE),"")</f>
        <v/>
      </c>
      <c r="D201" s="223" t="str">
        <f>IFERROR(VLOOKUP(B201,#REF!,4,FALSE),"")</f>
        <v/>
      </c>
      <c r="E201" s="120">
        <v>200</v>
      </c>
      <c r="F201" s="224" t="e">
        <f t="shared" si="5"/>
        <v>#REF!</v>
      </c>
      <c r="G201" s="120"/>
      <c r="H201" s="120"/>
      <c r="I201" s="120"/>
      <c r="J201" s="120"/>
      <c r="K201" s="120"/>
    </row>
    <row r="202" spans="1:11" ht="16.5" customHeight="1" x14ac:dyDescent="0.25">
      <c r="A202" s="120">
        <v>201</v>
      </c>
      <c r="B202" s="120" t="e">
        <f>IF(#REF!="","",#REF!)</f>
        <v>#REF!</v>
      </c>
      <c r="C202" s="120" t="str">
        <f>IFERROR(VLOOKUP(B202,#REF!,5,FALSE),"")</f>
        <v/>
      </c>
      <c r="D202" s="223" t="str">
        <f>IFERROR(VLOOKUP(B202,#REF!,4,FALSE),"")</f>
        <v/>
      </c>
      <c r="E202" s="120">
        <v>201</v>
      </c>
      <c r="F202" s="224" t="e">
        <f t="shared" si="5"/>
        <v>#REF!</v>
      </c>
      <c r="G202" s="120"/>
      <c r="H202" s="120"/>
      <c r="I202" s="120"/>
      <c r="J202" s="120"/>
      <c r="K202" s="120"/>
    </row>
    <row r="203" spans="1:11" ht="16.5" customHeight="1" x14ac:dyDescent="0.25">
      <c r="A203" s="120">
        <v>202</v>
      </c>
      <c r="B203" s="120" t="e">
        <f>IF(#REF!="","",#REF!)</f>
        <v>#REF!</v>
      </c>
      <c r="C203" s="120" t="str">
        <f>IFERROR(VLOOKUP(B203,#REF!,5,FALSE),"")</f>
        <v/>
      </c>
      <c r="D203" s="223" t="str">
        <f>IFERROR(VLOOKUP(B203,#REF!,4,FALSE),"")</f>
        <v/>
      </c>
      <c r="E203" s="120">
        <v>202</v>
      </c>
      <c r="F203" s="224" t="e">
        <f t="shared" si="5"/>
        <v>#REF!</v>
      </c>
      <c r="G203" s="120"/>
      <c r="H203" s="120"/>
      <c r="I203" s="120"/>
      <c r="J203" s="120"/>
      <c r="K203" s="120"/>
    </row>
    <row r="204" spans="1:11" ht="16.5" customHeight="1" x14ac:dyDescent="0.25">
      <c r="A204" s="120">
        <v>203</v>
      </c>
      <c r="B204" s="120" t="e">
        <f>IF(#REF!="","",#REF!)</f>
        <v>#REF!</v>
      </c>
      <c r="C204" s="120" t="str">
        <f>IFERROR(VLOOKUP(B204,#REF!,5,FALSE),"")</f>
        <v/>
      </c>
      <c r="D204" s="223" t="str">
        <f>IFERROR(VLOOKUP(B204,#REF!,4,FALSE),"")</f>
        <v/>
      </c>
      <c r="E204" s="120">
        <v>203</v>
      </c>
      <c r="F204" s="224" t="e">
        <f t="shared" si="5"/>
        <v>#REF!</v>
      </c>
      <c r="G204" s="120"/>
      <c r="H204" s="120"/>
      <c r="I204" s="120"/>
      <c r="J204" s="120"/>
      <c r="K204" s="120"/>
    </row>
    <row r="205" spans="1:11" ht="16.5" customHeight="1" x14ac:dyDescent="0.25">
      <c r="A205" s="120">
        <v>204</v>
      </c>
      <c r="B205" s="120" t="e">
        <f>IF(#REF!="","",#REF!)</f>
        <v>#REF!</v>
      </c>
      <c r="C205" s="120" t="str">
        <f>IFERROR(VLOOKUP(B205,#REF!,5,FALSE),"")</f>
        <v/>
      </c>
      <c r="D205" s="223" t="str">
        <f>IFERROR(VLOOKUP(B205,#REF!,4,FALSE),"")</f>
        <v/>
      </c>
      <c r="E205" s="120">
        <v>204</v>
      </c>
      <c r="F205" s="224" t="e">
        <f t="shared" si="5"/>
        <v>#REF!</v>
      </c>
      <c r="G205" s="120"/>
      <c r="H205" s="120"/>
      <c r="I205" s="120"/>
      <c r="J205" s="120"/>
      <c r="K205" s="120"/>
    </row>
    <row r="206" spans="1:11" ht="16.5" customHeight="1" x14ac:dyDescent="0.25">
      <c r="A206" s="120">
        <v>205</v>
      </c>
      <c r="B206" s="120" t="e">
        <f>IF(#REF!="","",#REF!)</f>
        <v>#REF!</v>
      </c>
      <c r="C206" s="120" t="str">
        <f>IFERROR(VLOOKUP(B206,#REF!,5,FALSE),"")</f>
        <v/>
      </c>
      <c r="D206" s="223" t="str">
        <f>IFERROR(VLOOKUP(B206,#REF!,4,FALSE),"")</f>
        <v/>
      </c>
      <c r="E206" s="120">
        <v>205</v>
      </c>
      <c r="F206" s="224" t="e">
        <f t="shared" ref="F206:F255" si="6">B206</f>
        <v>#REF!</v>
      </c>
      <c r="G206" s="120"/>
      <c r="H206" s="120"/>
      <c r="I206" s="120"/>
      <c r="J206" s="120"/>
      <c r="K206" s="120"/>
    </row>
    <row r="207" spans="1:11" ht="16.5" customHeight="1" x14ac:dyDescent="0.25">
      <c r="A207" s="120">
        <v>206</v>
      </c>
      <c r="B207" s="120" t="e">
        <f>IF(#REF!="","",#REF!)</f>
        <v>#REF!</v>
      </c>
      <c r="C207" s="120" t="str">
        <f>IFERROR(VLOOKUP(B207,#REF!,5,FALSE),"")</f>
        <v/>
      </c>
      <c r="D207" s="223" t="str">
        <f>IFERROR(VLOOKUP(B207,#REF!,4,FALSE),"")</f>
        <v/>
      </c>
      <c r="E207" s="120">
        <v>206</v>
      </c>
      <c r="F207" s="224" t="e">
        <f t="shared" si="6"/>
        <v>#REF!</v>
      </c>
      <c r="G207" s="120"/>
      <c r="H207" s="120"/>
      <c r="I207" s="120"/>
      <c r="J207" s="120"/>
      <c r="K207" s="120"/>
    </row>
    <row r="208" spans="1:11" ht="16.5" customHeight="1" x14ac:dyDescent="0.25">
      <c r="A208" s="120">
        <v>207</v>
      </c>
      <c r="B208" s="120" t="e">
        <f>IF(#REF!="","",#REF!)</f>
        <v>#REF!</v>
      </c>
      <c r="C208" s="120" t="str">
        <f>IFERROR(VLOOKUP(B208,#REF!,5,FALSE),"")</f>
        <v/>
      </c>
      <c r="D208" s="223" t="str">
        <f>IFERROR(VLOOKUP(B208,#REF!,4,FALSE),"")</f>
        <v/>
      </c>
      <c r="E208" s="120">
        <v>207</v>
      </c>
      <c r="F208" s="224" t="e">
        <f t="shared" si="6"/>
        <v>#REF!</v>
      </c>
      <c r="G208" s="120"/>
      <c r="H208" s="120"/>
      <c r="I208" s="120"/>
      <c r="J208" s="120"/>
      <c r="K208" s="120"/>
    </row>
    <row r="209" spans="1:11" ht="16.5" customHeight="1" x14ac:dyDescent="0.25">
      <c r="A209" s="120">
        <v>208</v>
      </c>
      <c r="B209" s="120" t="e">
        <f>IF(#REF!="","",#REF!)</f>
        <v>#REF!</v>
      </c>
      <c r="C209" s="120" t="str">
        <f>IFERROR(VLOOKUP(B209,#REF!,5,FALSE),"")</f>
        <v/>
      </c>
      <c r="D209" s="223" t="str">
        <f>IFERROR(VLOOKUP(B209,#REF!,4,FALSE),"")</f>
        <v/>
      </c>
      <c r="E209" s="120">
        <v>208</v>
      </c>
      <c r="F209" s="224" t="e">
        <f t="shared" si="6"/>
        <v>#REF!</v>
      </c>
      <c r="G209" s="120"/>
      <c r="H209" s="120"/>
      <c r="I209" s="120"/>
      <c r="J209" s="120"/>
      <c r="K209" s="120"/>
    </row>
    <row r="210" spans="1:11" ht="16.5" customHeight="1" x14ac:dyDescent="0.25">
      <c r="A210" s="120">
        <v>209</v>
      </c>
      <c r="B210" s="120" t="e">
        <f>IF(#REF!="","",#REF!)</f>
        <v>#REF!</v>
      </c>
      <c r="C210" s="120" t="str">
        <f>IFERROR(VLOOKUP(B210,#REF!,5,FALSE),"")</f>
        <v/>
      </c>
      <c r="D210" s="223" t="str">
        <f>IFERROR(VLOOKUP(B210,#REF!,4,FALSE),"")</f>
        <v/>
      </c>
      <c r="E210" s="120">
        <v>209</v>
      </c>
      <c r="F210" s="224" t="e">
        <f t="shared" si="6"/>
        <v>#REF!</v>
      </c>
      <c r="G210" s="120"/>
      <c r="H210" s="120"/>
      <c r="I210" s="120"/>
      <c r="J210" s="120"/>
      <c r="K210" s="120"/>
    </row>
    <row r="211" spans="1:11" ht="16.5" customHeight="1" x14ac:dyDescent="0.25">
      <c r="A211" s="120">
        <v>210</v>
      </c>
      <c r="B211" s="120" t="e">
        <f>IF(#REF!="","",#REF!)</f>
        <v>#REF!</v>
      </c>
      <c r="C211" s="120" t="str">
        <f>IFERROR(VLOOKUP(B211,#REF!,5,FALSE),"")</f>
        <v/>
      </c>
      <c r="D211" s="223" t="str">
        <f>IFERROR(VLOOKUP(B211,#REF!,4,FALSE),"")</f>
        <v/>
      </c>
      <c r="E211" s="120">
        <v>210</v>
      </c>
      <c r="F211" s="224" t="e">
        <f t="shared" si="6"/>
        <v>#REF!</v>
      </c>
      <c r="G211" s="120"/>
      <c r="H211" s="120"/>
      <c r="I211" s="120"/>
      <c r="J211" s="120"/>
      <c r="K211" s="120"/>
    </row>
    <row r="212" spans="1:11" ht="16.5" customHeight="1" x14ac:dyDescent="0.25">
      <c r="A212" s="120">
        <v>211</v>
      </c>
      <c r="B212" s="120" t="e">
        <f>IF(#REF!="","",#REF!)</f>
        <v>#REF!</v>
      </c>
      <c r="C212" s="120" t="str">
        <f>IFERROR(VLOOKUP(B212,#REF!,5,FALSE),"")</f>
        <v/>
      </c>
      <c r="D212" s="223" t="str">
        <f>IFERROR(VLOOKUP(B212,#REF!,4,FALSE),"")</f>
        <v/>
      </c>
      <c r="E212" s="120">
        <v>211</v>
      </c>
      <c r="F212" s="224" t="e">
        <f t="shared" si="6"/>
        <v>#REF!</v>
      </c>
      <c r="G212" s="120"/>
      <c r="H212" s="120"/>
      <c r="I212" s="120"/>
      <c r="J212" s="120"/>
      <c r="K212" s="120"/>
    </row>
    <row r="213" spans="1:11" ht="16.5" customHeight="1" x14ac:dyDescent="0.25">
      <c r="A213" s="120">
        <v>212</v>
      </c>
      <c r="B213" s="120" t="e">
        <f>IF(#REF!="","",#REF!)</f>
        <v>#REF!</v>
      </c>
      <c r="C213" s="120" t="str">
        <f>IFERROR(VLOOKUP(B213,#REF!,5,FALSE),"")</f>
        <v/>
      </c>
      <c r="D213" s="223" t="str">
        <f>IFERROR(VLOOKUP(B213,#REF!,4,FALSE),"")</f>
        <v/>
      </c>
      <c r="E213" s="120">
        <v>212</v>
      </c>
      <c r="F213" s="224" t="e">
        <f t="shared" si="6"/>
        <v>#REF!</v>
      </c>
      <c r="G213" s="120"/>
      <c r="H213" s="120"/>
      <c r="I213" s="120"/>
      <c r="J213" s="120"/>
      <c r="K213" s="120"/>
    </row>
    <row r="214" spans="1:11" ht="16.5" customHeight="1" x14ac:dyDescent="0.25">
      <c r="A214" s="120">
        <v>213</v>
      </c>
      <c r="B214" s="120" t="e">
        <f>IF(#REF!="","",#REF!)</f>
        <v>#REF!</v>
      </c>
      <c r="C214" s="120" t="str">
        <f>IFERROR(VLOOKUP(B214,#REF!,5,FALSE),"")</f>
        <v/>
      </c>
      <c r="D214" s="223" t="str">
        <f>IFERROR(VLOOKUP(B214,#REF!,4,FALSE),"")</f>
        <v/>
      </c>
      <c r="E214" s="120">
        <v>213</v>
      </c>
      <c r="F214" s="224" t="e">
        <f t="shared" si="6"/>
        <v>#REF!</v>
      </c>
      <c r="G214" s="120"/>
      <c r="H214" s="120"/>
      <c r="I214" s="120"/>
      <c r="J214" s="120"/>
      <c r="K214" s="120"/>
    </row>
    <row r="215" spans="1:11" ht="16.5" customHeight="1" x14ac:dyDescent="0.25">
      <c r="A215" s="120">
        <v>214</v>
      </c>
      <c r="B215" s="120" t="e">
        <f>IF(#REF!="","",#REF!)</f>
        <v>#REF!</v>
      </c>
      <c r="C215" s="120" t="str">
        <f>IFERROR(VLOOKUP(B215,#REF!,5,FALSE),"")</f>
        <v/>
      </c>
      <c r="D215" s="223" t="str">
        <f>IFERROR(VLOOKUP(B215,#REF!,4,FALSE),"")</f>
        <v/>
      </c>
      <c r="E215" s="120">
        <v>214</v>
      </c>
      <c r="F215" s="224" t="e">
        <f t="shared" si="6"/>
        <v>#REF!</v>
      </c>
      <c r="G215" s="120"/>
      <c r="H215" s="120"/>
      <c r="I215" s="120"/>
      <c r="J215" s="120"/>
      <c r="K215" s="120"/>
    </row>
    <row r="216" spans="1:11" ht="16.5" customHeight="1" x14ac:dyDescent="0.25">
      <c r="A216" s="120">
        <v>215</v>
      </c>
      <c r="B216" s="120" t="e">
        <f>IF(#REF!="","",#REF!)</f>
        <v>#REF!</v>
      </c>
      <c r="C216" s="120" t="str">
        <f>IFERROR(VLOOKUP(B216,#REF!,5,FALSE),"")</f>
        <v/>
      </c>
      <c r="D216" s="223" t="str">
        <f>IFERROR(VLOOKUP(B216,#REF!,4,FALSE),"")</f>
        <v/>
      </c>
      <c r="E216" s="120">
        <v>215</v>
      </c>
      <c r="F216" s="224" t="e">
        <f t="shared" si="6"/>
        <v>#REF!</v>
      </c>
      <c r="G216" s="120"/>
      <c r="H216" s="120"/>
      <c r="I216" s="120"/>
      <c r="J216" s="120"/>
      <c r="K216" s="120"/>
    </row>
    <row r="217" spans="1:11" ht="16.5" customHeight="1" x14ac:dyDescent="0.25">
      <c r="A217" s="120">
        <v>216</v>
      </c>
      <c r="B217" s="120" t="e">
        <f>IF(#REF!="","",#REF!)</f>
        <v>#REF!</v>
      </c>
      <c r="C217" s="120" t="str">
        <f>IFERROR(VLOOKUP(B217,#REF!,5,FALSE),"")</f>
        <v/>
      </c>
      <c r="D217" s="223" t="str">
        <f>IFERROR(VLOOKUP(B217,#REF!,4,FALSE),"")</f>
        <v/>
      </c>
      <c r="E217" s="120">
        <v>216</v>
      </c>
      <c r="F217" s="224" t="e">
        <f t="shared" si="6"/>
        <v>#REF!</v>
      </c>
      <c r="G217" s="120"/>
      <c r="H217" s="120"/>
      <c r="I217" s="120"/>
      <c r="J217" s="120"/>
      <c r="K217" s="120"/>
    </row>
    <row r="218" spans="1:11" ht="16.5" customHeight="1" x14ac:dyDescent="0.25">
      <c r="A218" s="120">
        <v>217</v>
      </c>
      <c r="B218" s="120" t="e">
        <f>IF(#REF!="","",#REF!)</f>
        <v>#REF!</v>
      </c>
      <c r="C218" s="120" t="str">
        <f>IFERROR(VLOOKUP(B218,#REF!,5,FALSE),"")</f>
        <v/>
      </c>
      <c r="D218" s="223" t="str">
        <f>IFERROR(VLOOKUP(B218,#REF!,4,FALSE),"")</f>
        <v/>
      </c>
      <c r="E218" s="120">
        <v>217</v>
      </c>
      <c r="F218" s="224" t="e">
        <f t="shared" si="6"/>
        <v>#REF!</v>
      </c>
      <c r="G218" s="120"/>
      <c r="H218" s="120"/>
      <c r="I218" s="120"/>
      <c r="J218" s="120"/>
      <c r="K218" s="120"/>
    </row>
    <row r="219" spans="1:11" ht="16.5" customHeight="1" x14ac:dyDescent="0.25">
      <c r="A219" s="120">
        <v>218</v>
      </c>
      <c r="B219" s="120" t="e">
        <f>IF(#REF!="","",#REF!)</f>
        <v>#REF!</v>
      </c>
      <c r="C219" s="120" t="str">
        <f>IFERROR(VLOOKUP(B219,#REF!,5,FALSE),"")</f>
        <v/>
      </c>
      <c r="D219" s="223" t="str">
        <f>IFERROR(VLOOKUP(B219,#REF!,4,FALSE),"")</f>
        <v/>
      </c>
      <c r="E219" s="120">
        <v>218</v>
      </c>
      <c r="F219" s="224" t="e">
        <f t="shared" si="6"/>
        <v>#REF!</v>
      </c>
      <c r="G219" s="120"/>
      <c r="H219" s="120"/>
      <c r="I219" s="120"/>
      <c r="J219" s="120"/>
      <c r="K219" s="120"/>
    </row>
    <row r="220" spans="1:11" ht="16.5" customHeight="1" x14ac:dyDescent="0.25">
      <c r="A220" s="120">
        <v>219</v>
      </c>
      <c r="B220" s="120" t="e">
        <f>IF(#REF!="","",#REF!)</f>
        <v>#REF!</v>
      </c>
      <c r="C220" s="120" t="str">
        <f>IFERROR(VLOOKUP(B220,#REF!,5,FALSE),"")</f>
        <v/>
      </c>
      <c r="D220" s="223" t="str">
        <f>IFERROR(VLOOKUP(B220,#REF!,4,FALSE),"")</f>
        <v/>
      </c>
      <c r="E220" s="120">
        <v>219</v>
      </c>
      <c r="F220" s="224" t="e">
        <f t="shared" si="6"/>
        <v>#REF!</v>
      </c>
      <c r="G220" s="120"/>
      <c r="H220" s="120"/>
      <c r="I220" s="120"/>
      <c r="J220" s="120"/>
      <c r="K220" s="120"/>
    </row>
    <row r="221" spans="1:11" ht="16.5" customHeight="1" x14ac:dyDescent="0.25">
      <c r="A221" s="120">
        <v>220</v>
      </c>
      <c r="B221" s="120" t="e">
        <f>IF(#REF!="","",#REF!)</f>
        <v>#REF!</v>
      </c>
      <c r="C221" s="120" t="str">
        <f>IFERROR(VLOOKUP(B221,#REF!,5,FALSE),"")</f>
        <v/>
      </c>
      <c r="D221" s="223" t="str">
        <f>IFERROR(VLOOKUP(B221,#REF!,4,FALSE),"")</f>
        <v/>
      </c>
      <c r="E221" s="120">
        <v>220</v>
      </c>
      <c r="F221" s="224" t="e">
        <f t="shared" si="6"/>
        <v>#REF!</v>
      </c>
      <c r="G221" s="120"/>
      <c r="H221" s="120"/>
      <c r="I221" s="120"/>
      <c r="J221" s="120"/>
      <c r="K221" s="120"/>
    </row>
    <row r="222" spans="1:11" ht="16.5" customHeight="1" x14ac:dyDescent="0.25">
      <c r="A222" s="120">
        <v>221</v>
      </c>
      <c r="B222" s="120" t="e">
        <f>IF(#REF!="","",#REF!)</f>
        <v>#REF!</v>
      </c>
      <c r="C222" s="120" t="str">
        <f>IFERROR(VLOOKUP(B222,#REF!,5,FALSE),"")</f>
        <v/>
      </c>
      <c r="D222" s="223" t="str">
        <f>IFERROR(VLOOKUP(B222,#REF!,4,FALSE),"")</f>
        <v/>
      </c>
      <c r="E222" s="120">
        <v>221</v>
      </c>
      <c r="F222" s="224" t="e">
        <f t="shared" si="6"/>
        <v>#REF!</v>
      </c>
      <c r="G222" s="120"/>
      <c r="H222" s="120"/>
      <c r="I222" s="120"/>
      <c r="J222" s="120"/>
      <c r="K222" s="120"/>
    </row>
    <row r="223" spans="1:11" ht="16.5" customHeight="1" x14ac:dyDescent="0.25">
      <c r="A223" s="120">
        <v>222</v>
      </c>
      <c r="B223" s="120" t="e">
        <f>IF(#REF!="","",#REF!)</f>
        <v>#REF!</v>
      </c>
      <c r="C223" s="120" t="str">
        <f>IFERROR(VLOOKUP(B223,#REF!,5,FALSE),"")</f>
        <v/>
      </c>
      <c r="D223" s="223" t="str">
        <f>IFERROR(VLOOKUP(B223,#REF!,4,FALSE),"")</f>
        <v/>
      </c>
      <c r="E223" s="120">
        <v>222</v>
      </c>
      <c r="F223" s="224" t="e">
        <f t="shared" si="6"/>
        <v>#REF!</v>
      </c>
      <c r="G223" s="120"/>
      <c r="H223" s="120"/>
      <c r="I223" s="120"/>
      <c r="J223" s="120"/>
      <c r="K223" s="120"/>
    </row>
    <row r="224" spans="1:11" ht="16.5" customHeight="1" x14ac:dyDescent="0.25">
      <c r="A224" s="120">
        <v>223</v>
      </c>
      <c r="B224" s="120" t="e">
        <f>IF(#REF!="","",#REF!)</f>
        <v>#REF!</v>
      </c>
      <c r="C224" s="120" t="str">
        <f>IFERROR(VLOOKUP(B224,#REF!,5,FALSE),"")</f>
        <v/>
      </c>
      <c r="D224" s="223" t="str">
        <f>IFERROR(VLOOKUP(B224,#REF!,4,FALSE),"")</f>
        <v/>
      </c>
      <c r="E224" s="120">
        <v>223</v>
      </c>
      <c r="F224" s="224" t="e">
        <f t="shared" si="6"/>
        <v>#REF!</v>
      </c>
      <c r="G224" s="120"/>
      <c r="H224" s="120"/>
      <c r="I224" s="120"/>
      <c r="J224" s="120"/>
      <c r="K224" s="120"/>
    </row>
    <row r="225" spans="1:11" ht="16.5" customHeight="1" x14ac:dyDescent="0.25">
      <c r="A225" s="120">
        <v>224</v>
      </c>
      <c r="B225" s="120" t="e">
        <f>IF(#REF!="","",#REF!)</f>
        <v>#REF!</v>
      </c>
      <c r="C225" s="120" t="str">
        <f>IFERROR(VLOOKUP(B225,#REF!,5,FALSE),"")</f>
        <v/>
      </c>
      <c r="D225" s="223" t="str">
        <f>IFERROR(VLOOKUP(B225,#REF!,4,FALSE),"")</f>
        <v/>
      </c>
      <c r="E225" s="120">
        <v>224</v>
      </c>
      <c r="F225" s="224" t="e">
        <f t="shared" si="6"/>
        <v>#REF!</v>
      </c>
      <c r="G225" s="120"/>
      <c r="H225" s="120"/>
      <c r="I225" s="120"/>
      <c r="J225" s="120"/>
      <c r="K225" s="120"/>
    </row>
    <row r="226" spans="1:11" ht="16.5" customHeight="1" x14ac:dyDescent="0.25">
      <c r="A226" s="120">
        <v>225</v>
      </c>
      <c r="B226" s="120" t="e">
        <f>IF(#REF!="","",#REF!)</f>
        <v>#REF!</v>
      </c>
      <c r="C226" s="120" t="str">
        <f>IFERROR(VLOOKUP(B226,#REF!,5,FALSE),"")</f>
        <v/>
      </c>
      <c r="D226" s="223" t="str">
        <f>IFERROR(VLOOKUP(B226,#REF!,4,FALSE),"")</f>
        <v/>
      </c>
      <c r="E226" s="120">
        <v>225</v>
      </c>
      <c r="F226" s="224" t="e">
        <f t="shared" si="6"/>
        <v>#REF!</v>
      </c>
      <c r="G226" s="120"/>
      <c r="H226" s="120"/>
      <c r="I226" s="120"/>
      <c r="J226" s="120"/>
      <c r="K226" s="120"/>
    </row>
    <row r="227" spans="1:11" ht="16.5" customHeight="1" x14ac:dyDescent="0.25">
      <c r="A227" s="120">
        <v>226</v>
      </c>
      <c r="B227" s="120" t="e">
        <f>IF(#REF!="","",#REF!)</f>
        <v>#REF!</v>
      </c>
      <c r="C227" s="120" t="str">
        <f>IFERROR(VLOOKUP(B227,#REF!,5,FALSE),"")</f>
        <v/>
      </c>
      <c r="D227" s="223" t="str">
        <f>IFERROR(VLOOKUP(B227,#REF!,4,FALSE),"")</f>
        <v/>
      </c>
      <c r="E227" s="120">
        <v>226</v>
      </c>
      <c r="F227" s="224" t="e">
        <f t="shared" si="6"/>
        <v>#REF!</v>
      </c>
      <c r="G227" s="120"/>
      <c r="H227" s="120"/>
      <c r="I227" s="120"/>
      <c r="J227" s="120"/>
      <c r="K227" s="120"/>
    </row>
    <row r="228" spans="1:11" ht="16.5" customHeight="1" x14ac:dyDescent="0.25">
      <c r="A228" s="120">
        <v>227</v>
      </c>
      <c r="B228" s="120" t="e">
        <f>IF(#REF!="","",#REF!)</f>
        <v>#REF!</v>
      </c>
      <c r="C228" s="120" t="str">
        <f>IFERROR(VLOOKUP(B228,#REF!,5,FALSE),"")</f>
        <v/>
      </c>
      <c r="D228" s="223" t="str">
        <f>IFERROR(VLOOKUP(B228,#REF!,4,FALSE),"")</f>
        <v/>
      </c>
      <c r="E228" s="120">
        <v>227</v>
      </c>
      <c r="F228" s="224" t="e">
        <f t="shared" si="6"/>
        <v>#REF!</v>
      </c>
      <c r="G228" s="120"/>
      <c r="H228" s="120"/>
      <c r="I228" s="120"/>
      <c r="J228" s="120"/>
      <c r="K228" s="120"/>
    </row>
    <row r="229" spans="1:11" ht="16.5" customHeight="1" x14ac:dyDescent="0.25">
      <c r="A229" s="120">
        <v>228</v>
      </c>
      <c r="B229" s="120" t="e">
        <f>IF(#REF!="","",#REF!)</f>
        <v>#REF!</v>
      </c>
      <c r="C229" s="120" t="str">
        <f>IFERROR(VLOOKUP(B229,#REF!,5,FALSE),"")</f>
        <v/>
      </c>
      <c r="D229" s="223" t="str">
        <f>IFERROR(VLOOKUP(B229,#REF!,4,FALSE),"")</f>
        <v/>
      </c>
      <c r="E229" s="120">
        <v>228</v>
      </c>
      <c r="F229" s="224" t="e">
        <f t="shared" si="6"/>
        <v>#REF!</v>
      </c>
      <c r="G229" s="120"/>
      <c r="H229" s="120"/>
      <c r="I229" s="120"/>
      <c r="J229" s="120"/>
      <c r="K229" s="120"/>
    </row>
    <row r="230" spans="1:11" ht="16.5" customHeight="1" x14ac:dyDescent="0.25">
      <c r="A230" s="120">
        <v>229</v>
      </c>
      <c r="B230" s="120" t="e">
        <f>IF(#REF!="","",#REF!)</f>
        <v>#REF!</v>
      </c>
      <c r="C230" s="120" t="str">
        <f>IFERROR(VLOOKUP(B230,#REF!,5,FALSE),"")</f>
        <v/>
      </c>
      <c r="D230" s="223" t="str">
        <f>IFERROR(VLOOKUP(B230,#REF!,4,FALSE),"")</f>
        <v/>
      </c>
      <c r="E230" s="120">
        <v>229</v>
      </c>
      <c r="F230" s="224" t="e">
        <f t="shared" si="6"/>
        <v>#REF!</v>
      </c>
      <c r="G230" s="120"/>
      <c r="H230" s="120"/>
      <c r="I230" s="120"/>
      <c r="J230" s="120"/>
      <c r="K230" s="120"/>
    </row>
    <row r="231" spans="1:11" ht="16.5" customHeight="1" x14ac:dyDescent="0.25">
      <c r="A231" s="120">
        <v>230</v>
      </c>
      <c r="B231" s="120" t="e">
        <f>IF(#REF!="","",#REF!)</f>
        <v>#REF!</v>
      </c>
      <c r="C231" s="120" t="str">
        <f>IFERROR(VLOOKUP(B231,#REF!,5,FALSE),"")</f>
        <v/>
      </c>
      <c r="D231" s="223" t="str">
        <f>IFERROR(VLOOKUP(B231,#REF!,4,FALSE),"")</f>
        <v/>
      </c>
      <c r="E231" s="120">
        <v>230</v>
      </c>
      <c r="F231" s="224" t="e">
        <f t="shared" si="6"/>
        <v>#REF!</v>
      </c>
      <c r="G231" s="120"/>
      <c r="H231" s="120"/>
      <c r="I231" s="120"/>
      <c r="J231" s="120"/>
      <c r="K231" s="120"/>
    </row>
    <row r="232" spans="1:11" ht="16.5" customHeight="1" x14ac:dyDescent="0.25">
      <c r="A232" s="120">
        <v>231</v>
      </c>
      <c r="B232" s="120" t="e">
        <f>IF(#REF!="","",#REF!)</f>
        <v>#REF!</v>
      </c>
      <c r="C232" s="120" t="str">
        <f>IFERROR(VLOOKUP(B232,#REF!,5,FALSE),"")</f>
        <v/>
      </c>
      <c r="D232" s="223" t="str">
        <f>IFERROR(VLOOKUP(B232,#REF!,4,FALSE),"")</f>
        <v/>
      </c>
      <c r="E232" s="120">
        <v>231</v>
      </c>
      <c r="F232" s="224" t="e">
        <f t="shared" si="6"/>
        <v>#REF!</v>
      </c>
      <c r="G232" s="120"/>
      <c r="H232" s="120"/>
      <c r="I232" s="120"/>
      <c r="J232" s="120"/>
      <c r="K232" s="120"/>
    </row>
    <row r="233" spans="1:11" ht="16.5" customHeight="1" x14ac:dyDescent="0.25">
      <c r="A233" s="120">
        <v>232</v>
      </c>
      <c r="B233" s="120" t="e">
        <f>IF(#REF!="","",#REF!)</f>
        <v>#REF!</v>
      </c>
      <c r="C233" s="120" t="str">
        <f>IFERROR(VLOOKUP(B233,#REF!,5,FALSE),"")</f>
        <v/>
      </c>
      <c r="D233" s="223" t="str">
        <f>IFERROR(VLOOKUP(B233,#REF!,4,FALSE),"")</f>
        <v/>
      </c>
      <c r="E233" s="120">
        <v>232</v>
      </c>
      <c r="F233" s="224" t="e">
        <f t="shared" si="6"/>
        <v>#REF!</v>
      </c>
      <c r="G233" s="120"/>
      <c r="H233" s="120"/>
      <c r="I233" s="120"/>
      <c r="J233" s="120"/>
      <c r="K233" s="120"/>
    </row>
    <row r="234" spans="1:11" ht="16.5" customHeight="1" x14ac:dyDescent="0.25">
      <c r="A234" s="120">
        <v>233</v>
      </c>
      <c r="B234" s="120" t="e">
        <f>IF(#REF!="","",#REF!)</f>
        <v>#REF!</v>
      </c>
      <c r="C234" s="120" t="str">
        <f>IFERROR(VLOOKUP(B234,#REF!,5,FALSE),"")</f>
        <v/>
      </c>
      <c r="D234" s="223" t="str">
        <f>IFERROR(VLOOKUP(B234,#REF!,4,FALSE),"")</f>
        <v/>
      </c>
      <c r="E234" s="120">
        <v>233</v>
      </c>
      <c r="F234" s="224" t="e">
        <f t="shared" si="6"/>
        <v>#REF!</v>
      </c>
      <c r="G234" s="120"/>
      <c r="H234" s="120"/>
      <c r="I234" s="120"/>
      <c r="J234" s="120"/>
      <c r="K234" s="120"/>
    </row>
    <row r="235" spans="1:11" ht="16.5" customHeight="1" x14ac:dyDescent="0.25">
      <c r="A235" s="120">
        <v>234</v>
      </c>
      <c r="B235" s="120" t="e">
        <f>IF(#REF!="","",#REF!)</f>
        <v>#REF!</v>
      </c>
      <c r="C235" s="120" t="str">
        <f>IFERROR(VLOOKUP(B235,#REF!,5,FALSE),"")</f>
        <v/>
      </c>
      <c r="D235" s="223" t="str">
        <f>IFERROR(VLOOKUP(B235,#REF!,4,FALSE),"")</f>
        <v/>
      </c>
      <c r="E235" s="120">
        <v>234</v>
      </c>
      <c r="F235" s="224" t="e">
        <f t="shared" si="6"/>
        <v>#REF!</v>
      </c>
      <c r="G235" s="120"/>
      <c r="H235" s="120"/>
      <c r="I235" s="120"/>
      <c r="J235" s="120"/>
      <c r="K235" s="120"/>
    </row>
    <row r="236" spans="1:11" ht="16.5" customHeight="1" x14ac:dyDescent="0.25">
      <c r="A236" s="120">
        <v>235</v>
      </c>
      <c r="B236" s="120" t="e">
        <f>IF(#REF!="","",#REF!)</f>
        <v>#REF!</v>
      </c>
      <c r="C236" s="120" t="str">
        <f>IFERROR(VLOOKUP(B236,#REF!,5,FALSE),"")</f>
        <v/>
      </c>
      <c r="D236" s="223" t="str">
        <f>IFERROR(VLOOKUP(B236,#REF!,4,FALSE),"")</f>
        <v/>
      </c>
      <c r="E236" s="120">
        <v>235</v>
      </c>
      <c r="F236" s="224" t="e">
        <f t="shared" si="6"/>
        <v>#REF!</v>
      </c>
      <c r="G236" s="120"/>
      <c r="H236" s="120"/>
      <c r="I236" s="120"/>
      <c r="J236" s="120"/>
      <c r="K236" s="120"/>
    </row>
    <row r="237" spans="1:11" ht="16.5" customHeight="1" x14ac:dyDescent="0.25">
      <c r="A237" s="120">
        <v>236</v>
      </c>
      <c r="B237" s="120" t="e">
        <f>IF(#REF!="","",#REF!)</f>
        <v>#REF!</v>
      </c>
      <c r="C237" s="120" t="str">
        <f>IFERROR(VLOOKUP(B237,#REF!,5,FALSE),"")</f>
        <v/>
      </c>
      <c r="D237" s="223" t="str">
        <f>IFERROR(VLOOKUP(B237,#REF!,4,FALSE),"")</f>
        <v/>
      </c>
      <c r="E237" s="120">
        <v>236</v>
      </c>
      <c r="F237" s="224" t="e">
        <f t="shared" si="6"/>
        <v>#REF!</v>
      </c>
      <c r="G237" s="120"/>
      <c r="H237" s="120"/>
      <c r="I237" s="120"/>
      <c r="J237" s="120"/>
      <c r="K237" s="120"/>
    </row>
    <row r="238" spans="1:11" ht="16.5" customHeight="1" x14ac:dyDescent="0.25">
      <c r="A238" s="120">
        <v>237</v>
      </c>
      <c r="B238" s="120" t="e">
        <f>IF(#REF!="","",#REF!)</f>
        <v>#REF!</v>
      </c>
      <c r="C238" s="120" t="str">
        <f>IFERROR(VLOOKUP(B238,#REF!,5,FALSE),"")</f>
        <v/>
      </c>
      <c r="D238" s="223" t="str">
        <f>IFERROR(VLOOKUP(B238,#REF!,4,FALSE),"")</f>
        <v/>
      </c>
      <c r="E238" s="120">
        <v>237</v>
      </c>
      <c r="F238" s="224" t="e">
        <f t="shared" si="6"/>
        <v>#REF!</v>
      </c>
      <c r="G238" s="120"/>
      <c r="H238" s="120"/>
      <c r="I238" s="120"/>
      <c r="J238" s="120"/>
      <c r="K238" s="120"/>
    </row>
    <row r="239" spans="1:11" ht="16.5" customHeight="1" x14ac:dyDescent="0.25">
      <c r="A239" s="120">
        <v>238</v>
      </c>
      <c r="B239" s="120" t="e">
        <f>IF(#REF!="","",#REF!)</f>
        <v>#REF!</v>
      </c>
      <c r="C239" s="120" t="str">
        <f>IFERROR(VLOOKUP(B239,#REF!,5,FALSE),"")</f>
        <v/>
      </c>
      <c r="D239" s="223" t="str">
        <f>IFERROR(VLOOKUP(B239,#REF!,4,FALSE),"")</f>
        <v/>
      </c>
      <c r="E239" s="120">
        <v>238</v>
      </c>
      <c r="F239" s="224" t="e">
        <f t="shared" si="6"/>
        <v>#REF!</v>
      </c>
      <c r="G239" s="120"/>
      <c r="H239" s="120"/>
      <c r="I239" s="120"/>
      <c r="J239" s="120"/>
      <c r="K239" s="120"/>
    </row>
    <row r="240" spans="1:11" ht="16.5" customHeight="1" x14ac:dyDescent="0.25">
      <c r="A240" s="120">
        <v>239</v>
      </c>
      <c r="B240" s="120" t="e">
        <f>IF(#REF!="","",#REF!)</f>
        <v>#REF!</v>
      </c>
      <c r="C240" s="120" t="str">
        <f>IFERROR(VLOOKUP(B240,#REF!,5,FALSE),"")</f>
        <v/>
      </c>
      <c r="D240" s="223" t="str">
        <f>IFERROR(VLOOKUP(B240,#REF!,4,FALSE),"")</f>
        <v/>
      </c>
      <c r="E240" s="120">
        <v>239</v>
      </c>
      <c r="F240" s="224" t="e">
        <f t="shared" si="6"/>
        <v>#REF!</v>
      </c>
      <c r="G240" s="120"/>
      <c r="H240" s="120"/>
      <c r="I240" s="120"/>
      <c r="J240" s="120"/>
      <c r="K240" s="120"/>
    </row>
    <row r="241" spans="1:11" ht="16.5" customHeight="1" x14ac:dyDescent="0.25">
      <c r="A241" s="120">
        <v>240</v>
      </c>
      <c r="B241" s="120" t="e">
        <f>IF(#REF!="","",#REF!)</f>
        <v>#REF!</v>
      </c>
      <c r="C241" s="120" t="str">
        <f>IFERROR(VLOOKUP(B241,#REF!,5,FALSE),"")</f>
        <v/>
      </c>
      <c r="D241" s="223" t="str">
        <f>IFERROR(VLOOKUP(B241,#REF!,4,FALSE),"")</f>
        <v/>
      </c>
      <c r="E241" s="120">
        <v>240</v>
      </c>
      <c r="F241" s="224" t="e">
        <f t="shared" si="6"/>
        <v>#REF!</v>
      </c>
      <c r="G241" s="120"/>
      <c r="H241" s="120"/>
      <c r="I241" s="120"/>
      <c r="J241" s="120"/>
      <c r="K241" s="120"/>
    </row>
    <row r="242" spans="1:11" ht="16.5" customHeight="1" x14ac:dyDescent="0.25">
      <c r="A242" s="120">
        <v>241</v>
      </c>
      <c r="B242" s="120" t="e">
        <f>IF(#REF!="","",#REF!)</f>
        <v>#REF!</v>
      </c>
      <c r="C242" s="120" t="str">
        <f>IFERROR(VLOOKUP(B242,#REF!,5,FALSE),"")</f>
        <v/>
      </c>
      <c r="D242" s="223" t="str">
        <f>IFERROR(VLOOKUP(B242,#REF!,4,FALSE),"")</f>
        <v/>
      </c>
      <c r="E242" s="120">
        <v>241</v>
      </c>
      <c r="F242" s="224" t="e">
        <f t="shared" si="6"/>
        <v>#REF!</v>
      </c>
      <c r="G242" s="120"/>
      <c r="H242" s="120"/>
      <c r="I242" s="120"/>
      <c r="J242" s="120"/>
      <c r="K242" s="120"/>
    </row>
    <row r="243" spans="1:11" ht="16.5" customHeight="1" x14ac:dyDescent="0.25">
      <c r="A243" s="120">
        <v>242</v>
      </c>
      <c r="B243" s="120" t="e">
        <f>IF(#REF!="","",#REF!)</f>
        <v>#REF!</v>
      </c>
      <c r="C243" s="120" t="str">
        <f>IFERROR(VLOOKUP(B243,#REF!,5,FALSE),"")</f>
        <v/>
      </c>
      <c r="D243" s="223" t="str">
        <f>IFERROR(VLOOKUP(B243,#REF!,4,FALSE),"")</f>
        <v/>
      </c>
      <c r="E243" s="120">
        <v>242</v>
      </c>
      <c r="F243" s="224" t="e">
        <f t="shared" si="6"/>
        <v>#REF!</v>
      </c>
      <c r="G243" s="120"/>
      <c r="H243" s="120"/>
      <c r="I243" s="120"/>
      <c r="J243" s="120"/>
      <c r="K243" s="120"/>
    </row>
    <row r="244" spans="1:11" ht="16.5" customHeight="1" x14ac:dyDescent="0.25">
      <c r="A244" s="120">
        <v>243</v>
      </c>
      <c r="B244" s="120" t="e">
        <f>IF(#REF!="","",#REF!)</f>
        <v>#REF!</v>
      </c>
      <c r="C244" s="120" t="str">
        <f>IFERROR(VLOOKUP(B244,#REF!,5,FALSE),"")</f>
        <v/>
      </c>
      <c r="D244" s="223" t="str">
        <f>IFERROR(VLOOKUP(B244,#REF!,4,FALSE),"")</f>
        <v/>
      </c>
      <c r="E244" s="120">
        <v>243</v>
      </c>
      <c r="F244" s="224" t="e">
        <f t="shared" si="6"/>
        <v>#REF!</v>
      </c>
      <c r="G244" s="120"/>
      <c r="H244" s="120"/>
      <c r="I244" s="120"/>
      <c r="J244" s="120"/>
      <c r="K244" s="120"/>
    </row>
    <row r="245" spans="1:11" ht="16.5" customHeight="1" x14ac:dyDescent="0.25">
      <c r="A245" s="120">
        <v>244</v>
      </c>
      <c r="B245" s="120" t="e">
        <f>IF(#REF!="","",#REF!)</f>
        <v>#REF!</v>
      </c>
      <c r="C245" s="120" t="str">
        <f>IFERROR(VLOOKUP(B245,#REF!,5,FALSE),"")</f>
        <v/>
      </c>
      <c r="D245" s="223" t="str">
        <f>IFERROR(VLOOKUP(B245,#REF!,4,FALSE),"")</f>
        <v/>
      </c>
      <c r="E245" s="120">
        <v>244</v>
      </c>
      <c r="F245" s="224" t="e">
        <f t="shared" si="6"/>
        <v>#REF!</v>
      </c>
      <c r="G245" s="120"/>
      <c r="H245" s="120"/>
      <c r="I245" s="120"/>
      <c r="J245" s="120"/>
      <c r="K245" s="120"/>
    </row>
    <row r="246" spans="1:11" ht="16.5" customHeight="1" x14ac:dyDescent="0.25">
      <c r="A246" s="120">
        <v>245</v>
      </c>
      <c r="B246" s="120" t="e">
        <f>IF(#REF!="","",#REF!)</f>
        <v>#REF!</v>
      </c>
      <c r="C246" s="120" t="str">
        <f>IFERROR(VLOOKUP(B246,#REF!,5,FALSE),"")</f>
        <v/>
      </c>
      <c r="D246" s="223" t="str">
        <f>IFERROR(VLOOKUP(B246,#REF!,4,FALSE),"")</f>
        <v/>
      </c>
      <c r="E246" s="120">
        <v>245</v>
      </c>
      <c r="F246" s="224" t="e">
        <f t="shared" si="6"/>
        <v>#REF!</v>
      </c>
      <c r="G246" s="120"/>
      <c r="H246" s="120"/>
      <c r="I246" s="120"/>
      <c r="J246" s="120"/>
      <c r="K246" s="120"/>
    </row>
    <row r="247" spans="1:11" ht="16.5" customHeight="1" x14ac:dyDescent="0.25">
      <c r="A247" s="120">
        <v>246</v>
      </c>
      <c r="B247" s="120" t="e">
        <f>IF(#REF!="","",#REF!)</f>
        <v>#REF!</v>
      </c>
      <c r="C247" s="120" t="str">
        <f>IFERROR(VLOOKUP(B247,#REF!,5,FALSE),"")</f>
        <v/>
      </c>
      <c r="D247" s="223" t="str">
        <f>IFERROR(VLOOKUP(B247,#REF!,4,FALSE),"")</f>
        <v/>
      </c>
      <c r="E247" s="120">
        <v>246</v>
      </c>
      <c r="F247" s="224" t="e">
        <f t="shared" si="6"/>
        <v>#REF!</v>
      </c>
      <c r="G247" s="120"/>
      <c r="H247" s="120"/>
      <c r="I247" s="120"/>
      <c r="J247" s="120"/>
      <c r="K247" s="120"/>
    </row>
    <row r="248" spans="1:11" ht="16.5" customHeight="1" x14ac:dyDescent="0.25">
      <c r="A248" s="120">
        <v>247</v>
      </c>
      <c r="B248" s="120" t="e">
        <f>IF(#REF!="","",#REF!)</f>
        <v>#REF!</v>
      </c>
      <c r="C248" s="120" t="str">
        <f>IFERROR(VLOOKUP(B248,#REF!,5,FALSE),"")</f>
        <v/>
      </c>
      <c r="D248" s="223" t="str">
        <f>IFERROR(VLOOKUP(B248,#REF!,4,FALSE),"")</f>
        <v/>
      </c>
      <c r="E248" s="120">
        <v>247</v>
      </c>
      <c r="F248" s="224" t="e">
        <f t="shared" si="6"/>
        <v>#REF!</v>
      </c>
      <c r="G248" s="120"/>
      <c r="H248" s="120"/>
      <c r="I248" s="120"/>
      <c r="J248" s="120"/>
      <c r="K248" s="120"/>
    </row>
    <row r="249" spans="1:11" ht="16.5" customHeight="1" x14ac:dyDescent="0.25">
      <c r="A249" s="120">
        <v>248</v>
      </c>
      <c r="B249" s="120" t="e">
        <f>IF(#REF!="","",#REF!)</f>
        <v>#REF!</v>
      </c>
      <c r="C249" s="120" t="str">
        <f>IFERROR(VLOOKUP(B249,#REF!,5,FALSE),"")</f>
        <v/>
      </c>
      <c r="D249" s="223" t="str">
        <f>IFERROR(VLOOKUP(B249,#REF!,4,FALSE),"")</f>
        <v/>
      </c>
      <c r="E249" s="120">
        <v>248</v>
      </c>
      <c r="F249" s="224" t="e">
        <f t="shared" si="6"/>
        <v>#REF!</v>
      </c>
      <c r="G249" s="120"/>
      <c r="H249" s="120"/>
      <c r="I249" s="120"/>
      <c r="J249" s="120"/>
      <c r="K249" s="120"/>
    </row>
    <row r="250" spans="1:11" ht="16.5" customHeight="1" x14ac:dyDescent="0.25">
      <c r="A250" s="120">
        <v>249</v>
      </c>
      <c r="B250" s="120" t="e">
        <f>IF(#REF!="","",#REF!)</f>
        <v>#REF!</v>
      </c>
      <c r="C250" s="120" t="str">
        <f>IFERROR(VLOOKUP(B250,#REF!,5,FALSE),"")</f>
        <v/>
      </c>
      <c r="D250" s="223" t="str">
        <f>IFERROR(VLOOKUP(B250,#REF!,4,FALSE),"")</f>
        <v/>
      </c>
      <c r="E250" s="120">
        <v>249</v>
      </c>
      <c r="F250" s="224" t="e">
        <f t="shared" si="6"/>
        <v>#REF!</v>
      </c>
      <c r="G250" s="120"/>
      <c r="H250" s="120"/>
      <c r="I250" s="120"/>
      <c r="J250" s="120"/>
      <c r="K250" s="120"/>
    </row>
    <row r="251" spans="1:11" ht="16.5" customHeight="1" x14ac:dyDescent="0.25">
      <c r="A251" s="120">
        <v>250</v>
      </c>
      <c r="B251" s="120" t="e">
        <f>IF(#REF!="","",#REF!)</f>
        <v>#REF!</v>
      </c>
      <c r="C251" s="120" t="str">
        <f>IFERROR(VLOOKUP(B251,#REF!,5,FALSE),"")</f>
        <v/>
      </c>
      <c r="D251" s="223" t="str">
        <f>IFERROR(VLOOKUP(B251,#REF!,4,FALSE),"")</f>
        <v/>
      </c>
      <c r="E251" s="120">
        <v>250</v>
      </c>
      <c r="F251" s="224" t="e">
        <f t="shared" si="6"/>
        <v>#REF!</v>
      </c>
      <c r="G251" s="120"/>
      <c r="H251" s="120"/>
      <c r="I251" s="120"/>
      <c r="J251" s="120"/>
      <c r="K251" s="120"/>
    </row>
    <row r="252" spans="1:11" ht="16.5" customHeight="1" x14ac:dyDescent="0.25">
      <c r="A252" s="120">
        <v>251</v>
      </c>
      <c r="B252" s="120" t="e">
        <f>IF(#REF!="","",#REF!)</f>
        <v>#REF!</v>
      </c>
      <c r="C252" s="120" t="str">
        <f>IFERROR(VLOOKUP(B252,#REF!,5,FALSE),"")</f>
        <v/>
      </c>
      <c r="D252" s="223" t="str">
        <f>IFERROR(VLOOKUP(B252,#REF!,4,FALSE),"")</f>
        <v/>
      </c>
      <c r="E252" s="120">
        <v>251</v>
      </c>
      <c r="F252" s="224" t="e">
        <f t="shared" si="6"/>
        <v>#REF!</v>
      </c>
      <c r="G252" s="120"/>
      <c r="H252" s="120"/>
      <c r="I252" s="120"/>
      <c r="J252" s="120"/>
      <c r="K252" s="120"/>
    </row>
    <row r="253" spans="1:11" ht="16.5" customHeight="1" x14ac:dyDescent="0.25">
      <c r="A253" s="120">
        <v>252</v>
      </c>
      <c r="B253" s="120" t="e">
        <f>IF(#REF!="","",#REF!)</f>
        <v>#REF!</v>
      </c>
      <c r="C253" s="120" t="str">
        <f>IFERROR(VLOOKUP(B253,#REF!,5,FALSE),"")</f>
        <v/>
      </c>
      <c r="D253" s="223" t="str">
        <f>IFERROR(VLOOKUP(B253,#REF!,4,FALSE),"")</f>
        <v/>
      </c>
      <c r="E253" s="120">
        <v>252</v>
      </c>
      <c r="F253" s="224" t="e">
        <f t="shared" si="6"/>
        <v>#REF!</v>
      </c>
      <c r="G253" s="120"/>
      <c r="H253" s="120"/>
      <c r="I253" s="120"/>
      <c r="J253" s="120"/>
      <c r="K253" s="120"/>
    </row>
    <row r="254" spans="1:11" ht="16.5" customHeight="1" x14ac:dyDescent="0.25">
      <c r="A254" s="120">
        <v>253</v>
      </c>
      <c r="B254" s="120" t="e">
        <f>IF(#REF!="","",#REF!)</f>
        <v>#REF!</v>
      </c>
      <c r="C254" s="120" t="str">
        <f>IFERROR(VLOOKUP(B254,#REF!,5,FALSE),"")</f>
        <v/>
      </c>
      <c r="D254" s="223" t="str">
        <f>IFERROR(VLOOKUP(B254,#REF!,4,FALSE),"")</f>
        <v/>
      </c>
      <c r="E254" s="120">
        <v>253</v>
      </c>
      <c r="F254" s="224" t="e">
        <f t="shared" si="6"/>
        <v>#REF!</v>
      </c>
      <c r="G254" s="120"/>
      <c r="H254" s="120"/>
      <c r="I254" s="120"/>
      <c r="J254" s="120"/>
      <c r="K254" s="120"/>
    </row>
    <row r="255" spans="1:11" ht="16.5" customHeight="1" x14ac:dyDescent="0.25">
      <c r="A255" s="120">
        <v>254</v>
      </c>
      <c r="B255" s="120" t="e">
        <f>IF(#REF!="","",#REF!)</f>
        <v>#REF!</v>
      </c>
      <c r="C255" s="120" t="str">
        <f>IFERROR(VLOOKUP(B255,#REF!,5,FALSE),"")</f>
        <v/>
      </c>
      <c r="D255" s="223" t="str">
        <f>IFERROR(VLOOKUP(B255,#REF!,4,FALSE),"")</f>
        <v/>
      </c>
      <c r="E255" s="120">
        <v>254</v>
      </c>
      <c r="F255" s="224" t="e">
        <f t="shared" si="6"/>
        <v>#REF!</v>
      </c>
      <c r="G255" s="120"/>
      <c r="H255" s="120"/>
      <c r="I255" s="120"/>
      <c r="J255" s="120"/>
      <c r="K255" s="120"/>
    </row>
    <row r="256" spans="1:11" ht="16.5" customHeight="1" x14ac:dyDescent="0.25">
      <c r="A256" s="120">
        <v>255</v>
      </c>
      <c r="B256" s="120" t="e">
        <f>IF(#REF!="","",#REF!)</f>
        <v>#REF!</v>
      </c>
      <c r="C256" s="120" t="str">
        <f>IFERROR(VLOOKUP(B256,#REF!,5,FALSE),"")</f>
        <v/>
      </c>
      <c r="D256" s="223" t="str">
        <f>IFERROR(VLOOKUP(B256,#REF!,4,FALSE),"")</f>
        <v/>
      </c>
      <c r="E256" s="120">
        <v>255</v>
      </c>
      <c r="F256" s="224" t="e">
        <f t="shared" ref="F256:F301" si="7">B256</f>
        <v>#REF!</v>
      </c>
      <c r="G256" s="120"/>
      <c r="H256" s="120"/>
      <c r="I256" s="120"/>
      <c r="J256" s="120"/>
      <c r="K256" s="120"/>
    </row>
    <row r="257" spans="1:11" ht="16.5" customHeight="1" x14ac:dyDescent="0.25">
      <c r="A257" s="120">
        <v>256</v>
      </c>
      <c r="B257" s="120" t="e">
        <f>IF(#REF!="","",#REF!)</f>
        <v>#REF!</v>
      </c>
      <c r="C257" s="120" t="str">
        <f>IFERROR(VLOOKUP(B257,#REF!,5,FALSE),"")</f>
        <v/>
      </c>
      <c r="D257" s="223" t="str">
        <f>IFERROR(VLOOKUP(B257,#REF!,4,FALSE),"")</f>
        <v/>
      </c>
      <c r="E257" s="120">
        <v>256</v>
      </c>
      <c r="F257" s="224" t="e">
        <f t="shared" si="7"/>
        <v>#REF!</v>
      </c>
      <c r="G257" s="120"/>
      <c r="H257" s="120"/>
      <c r="I257" s="120"/>
      <c r="J257" s="120"/>
      <c r="K257" s="120"/>
    </row>
    <row r="258" spans="1:11" ht="16.5" customHeight="1" x14ac:dyDescent="0.25">
      <c r="A258" s="120">
        <v>257</v>
      </c>
      <c r="B258" s="120" t="e">
        <f>IF(#REF!="","",#REF!)</f>
        <v>#REF!</v>
      </c>
      <c r="C258" s="120" t="str">
        <f>IFERROR(VLOOKUP(B258,#REF!,5,FALSE),"")</f>
        <v/>
      </c>
      <c r="D258" s="223" t="str">
        <f>IFERROR(VLOOKUP(B258,#REF!,4,FALSE),"")</f>
        <v/>
      </c>
      <c r="E258" s="120">
        <v>257</v>
      </c>
      <c r="F258" s="224" t="e">
        <f t="shared" si="7"/>
        <v>#REF!</v>
      </c>
      <c r="G258" s="120"/>
      <c r="H258" s="120"/>
      <c r="I258" s="120"/>
      <c r="J258" s="120"/>
      <c r="K258" s="120"/>
    </row>
    <row r="259" spans="1:11" ht="16.5" customHeight="1" x14ac:dyDescent="0.25">
      <c r="A259" s="120">
        <v>258</v>
      </c>
      <c r="B259" s="120" t="e">
        <f>IF(#REF!="","",#REF!)</f>
        <v>#REF!</v>
      </c>
      <c r="C259" s="120" t="str">
        <f>IFERROR(VLOOKUP(B259,#REF!,5,FALSE),"")</f>
        <v/>
      </c>
      <c r="D259" s="223" t="str">
        <f>IFERROR(VLOOKUP(B259,#REF!,4,FALSE),"")</f>
        <v/>
      </c>
      <c r="E259" s="120">
        <v>258</v>
      </c>
      <c r="F259" s="224" t="e">
        <f t="shared" si="7"/>
        <v>#REF!</v>
      </c>
      <c r="G259" s="120"/>
      <c r="H259" s="120"/>
      <c r="I259" s="120"/>
      <c r="J259" s="120"/>
      <c r="K259" s="120"/>
    </row>
    <row r="260" spans="1:11" ht="16.5" customHeight="1" x14ac:dyDescent="0.25">
      <c r="A260" s="120">
        <v>259</v>
      </c>
      <c r="B260" s="120" t="e">
        <f>IF(#REF!="","",#REF!)</f>
        <v>#REF!</v>
      </c>
      <c r="C260" s="120" t="str">
        <f>IFERROR(VLOOKUP(B260,#REF!,5,FALSE),"")</f>
        <v/>
      </c>
      <c r="D260" s="223" t="str">
        <f>IFERROR(VLOOKUP(B260,#REF!,4,FALSE),"")</f>
        <v/>
      </c>
      <c r="E260" s="120">
        <v>259</v>
      </c>
      <c r="F260" s="224" t="e">
        <f t="shared" si="7"/>
        <v>#REF!</v>
      </c>
      <c r="G260" s="120"/>
      <c r="H260" s="120"/>
      <c r="I260" s="120"/>
      <c r="J260" s="120"/>
      <c r="K260" s="120"/>
    </row>
    <row r="261" spans="1:11" ht="16.5" customHeight="1" x14ac:dyDescent="0.25">
      <c r="A261" s="120">
        <v>260</v>
      </c>
      <c r="B261" s="120" t="e">
        <f>IF(#REF!="","",#REF!)</f>
        <v>#REF!</v>
      </c>
      <c r="C261" s="120" t="str">
        <f>IFERROR(VLOOKUP(B261,#REF!,5,FALSE),"")</f>
        <v/>
      </c>
      <c r="D261" s="223" t="str">
        <f>IFERROR(VLOOKUP(B261,#REF!,4,FALSE),"")</f>
        <v/>
      </c>
      <c r="E261" s="120">
        <v>260</v>
      </c>
      <c r="F261" s="224" t="e">
        <f t="shared" si="7"/>
        <v>#REF!</v>
      </c>
      <c r="G261" s="120"/>
      <c r="H261" s="120"/>
      <c r="I261" s="120"/>
      <c r="J261" s="120"/>
      <c r="K261" s="120"/>
    </row>
    <row r="262" spans="1:11" ht="16.5" customHeight="1" x14ac:dyDescent="0.25">
      <c r="A262" s="120">
        <v>261</v>
      </c>
      <c r="B262" s="120" t="e">
        <f>IF(#REF!="","",#REF!)</f>
        <v>#REF!</v>
      </c>
      <c r="C262" s="120" t="str">
        <f>IFERROR(VLOOKUP(B262,#REF!,5,FALSE),"")</f>
        <v/>
      </c>
      <c r="D262" s="223" t="str">
        <f>IFERROR(VLOOKUP(B262,#REF!,4,FALSE),"")</f>
        <v/>
      </c>
      <c r="E262" s="120">
        <v>261</v>
      </c>
      <c r="F262" s="224" t="e">
        <f t="shared" si="7"/>
        <v>#REF!</v>
      </c>
      <c r="G262" s="120"/>
      <c r="H262" s="120"/>
      <c r="I262" s="120"/>
      <c r="J262" s="120"/>
      <c r="K262" s="120"/>
    </row>
    <row r="263" spans="1:11" ht="16.5" customHeight="1" x14ac:dyDescent="0.25">
      <c r="A263" s="120">
        <v>262</v>
      </c>
      <c r="B263" s="120" t="e">
        <f>IF(#REF!="","",#REF!)</f>
        <v>#REF!</v>
      </c>
      <c r="C263" s="120" t="str">
        <f>IFERROR(VLOOKUP(B263,#REF!,5,FALSE),"")</f>
        <v/>
      </c>
      <c r="D263" s="223" t="str">
        <f>IFERROR(VLOOKUP(B263,#REF!,4,FALSE),"")</f>
        <v/>
      </c>
      <c r="E263" s="120">
        <v>262</v>
      </c>
      <c r="F263" s="224" t="e">
        <f t="shared" si="7"/>
        <v>#REF!</v>
      </c>
      <c r="G263" s="120"/>
      <c r="H263" s="120"/>
      <c r="I263" s="120"/>
      <c r="J263" s="120"/>
      <c r="K263" s="120"/>
    </row>
    <row r="264" spans="1:11" ht="16.5" customHeight="1" x14ac:dyDescent="0.25">
      <c r="A264" s="120">
        <v>263</v>
      </c>
      <c r="B264" s="120" t="e">
        <f>IF(#REF!="","",#REF!)</f>
        <v>#REF!</v>
      </c>
      <c r="C264" s="120" t="str">
        <f>IFERROR(VLOOKUP(B264,#REF!,5,FALSE),"")</f>
        <v/>
      </c>
      <c r="D264" s="223" t="str">
        <f>IFERROR(VLOOKUP(B264,#REF!,4,FALSE),"")</f>
        <v/>
      </c>
      <c r="E264" s="120">
        <v>263</v>
      </c>
      <c r="F264" s="224" t="e">
        <f t="shared" si="7"/>
        <v>#REF!</v>
      </c>
      <c r="G264" s="120"/>
      <c r="H264" s="120"/>
      <c r="I264" s="120"/>
      <c r="J264" s="120"/>
      <c r="K264" s="120"/>
    </row>
    <row r="265" spans="1:11" ht="16.5" customHeight="1" x14ac:dyDescent="0.25">
      <c r="A265" s="120">
        <v>264</v>
      </c>
      <c r="B265" s="120" t="e">
        <f>IF(#REF!="","",#REF!)</f>
        <v>#REF!</v>
      </c>
      <c r="C265" s="120" t="str">
        <f>IFERROR(VLOOKUP(B265,#REF!,5,FALSE),"")</f>
        <v/>
      </c>
      <c r="D265" s="223" t="str">
        <f>IFERROR(VLOOKUP(B265,#REF!,4,FALSE),"")</f>
        <v/>
      </c>
      <c r="E265" s="120">
        <v>264</v>
      </c>
      <c r="F265" s="224" t="e">
        <f t="shared" si="7"/>
        <v>#REF!</v>
      </c>
      <c r="G265" s="120"/>
      <c r="H265" s="120"/>
      <c r="I265" s="120"/>
      <c r="J265" s="120"/>
      <c r="K265" s="120"/>
    </row>
    <row r="266" spans="1:11" ht="16.5" customHeight="1" x14ac:dyDescent="0.25">
      <c r="A266" s="120">
        <v>265</v>
      </c>
      <c r="B266" s="120" t="e">
        <f>IF(#REF!="","",#REF!)</f>
        <v>#REF!</v>
      </c>
      <c r="C266" s="120" t="str">
        <f>IFERROR(VLOOKUP(B266,#REF!,5,FALSE),"")</f>
        <v/>
      </c>
      <c r="D266" s="223" t="str">
        <f>IFERROR(VLOOKUP(B266,#REF!,4,FALSE),"")</f>
        <v/>
      </c>
      <c r="E266" s="120">
        <v>265</v>
      </c>
      <c r="F266" s="224" t="e">
        <f t="shared" si="7"/>
        <v>#REF!</v>
      </c>
      <c r="G266" s="120"/>
      <c r="H266" s="120"/>
      <c r="I266" s="120"/>
      <c r="J266" s="120"/>
      <c r="K266" s="120"/>
    </row>
    <row r="267" spans="1:11" ht="16.5" customHeight="1" x14ac:dyDescent="0.25">
      <c r="A267" s="120">
        <v>266</v>
      </c>
      <c r="B267" s="120" t="e">
        <f>IF(#REF!="","",#REF!)</f>
        <v>#REF!</v>
      </c>
      <c r="C267" s="120" t="str">
        <f>IFERROR(VLOOKUP(B267,#REF!,5,FALSE),"")</f>
        <v/>
      </c>
      <c r="D267" s="223" t="str">
        <f>IFERROR(VLOOKUP(B267,#REF!,4,FALSE),"")</f>
        <v/>
      </c>
      <c r="E267" s="120">
        <v>266</v>
      </c>
      <c r="F267" s="224" t="e">
        <f t="shared" si="7"/>
        <v>#REF!</v>
      </c>
      <c r="G267" s="120"/>
      <c r="H267" s="120"/>
      <c r="I267" s="120"/>
      <c r="J267" s="120"/>
      <c r="K267" s="120"/>
    </row>
    <row r="268" spans="1:11" ht="16.5" customHeight="1" x14ac:dyDescent="0.25">
      <c r="A268" s="120">
        <v>267</v>
      </c>
      <c r="B268" s="120" t="e">
        <f>IF(#REF!="","",#REF!)</f>
        <v>#REF!</v>
      </c>
      <c r="C268" s="120" t="str">
        <f>IFERROR(VLOOKUP(B268,#REF!,5,FALSE),"")</f>
        <v/>
      </c>
      <c r="D268" s="223" t="str">
        <f>IFERROR(VLOOKUP(B268,#REF!,4,FALSE),"")</f>
        <v/>
      </c>
      <c r="E268" s="120">
        <v>267</v>
      </c>
      <c r="F268" s="224" t="e">
        <f t="shared" si="7"/>
        <v>#REF!</v>
      </c>
      <c r="G268" s="120"/>
      <c r="H268" s="120"/>
      <c r="I268" s="120"/>
      <c r="J268" s="120"/>
      <c r="K268" s="120"/>
    </row>
    <row r="269" spans="1:11" ht="16.5" customHeight="1" x14ac:dyDescent="0.25">
      <c r="A269" s="120">
        <v>268</v>
      </c>
      <c r="B269" s="120" t="e">
        <f>IF(#REF!="","",#REF!)</f>
        <v>#REF!</v>
      </c>
      <c r="C269" s="120" t="str">
        <f>IFERROR(VLOOKUP(B269,#REF!,5,FALSE),"")</f>
        <v/>
      </c>
      <c r="D269" s="223" t="str">
        <f>IFERROR(VLOOKUP(B269,#REF!,4,FALSE),"")</f>
        <v/>
      </c>
      <c r="E269" s="120">
        <v>268</v>
      </c>
      <c r="F269" s="224" t="e">
        <f t="shared" si="7"/>
        <v>#REF!</v>
      </c>
      <c r="G269" s="120"/>
      <c r="H269" s="120"/>
      <c r="I269" s="120"/>
      <c r="J269" s="120"/>
      <c r="K269" s="120"/>
    </row>
    <row r="270" spans="1:11" ht="16.5" customHeight="1" x14ac:dyDescent="0.25">
      <c r="A270" s="120">
        <v>269</v>
      </c>
      <c r="B270" s="120" t="e">
        <f>IF(#REF!="","",#REF!)</f>
        <v>#REF!</v>
      </c>
      <c r="C270" s="120" t="str">
        <f>IFERROR(VLOOKUP(B270,#REF!,5,FALSE),"")</f>
        <v/>
      </c>
      <c r="D270" s="223" t="str">
        <f>IFERROR(VLOOKUP(B270,#REF!,4,FALSE),"")</f>
        <v/>
      </c>
      <c r="E270" s="120">
        <v>269</v>
      </c>
      <c r="F270" s="224" t="e">
        <f t="shared" si="7"/>
        <v>#REF!</v>
      </c>
      <c r="G270" s="120"/>
      <c r="H270" s="120"/>
      <c r="I270" s="120"/>
      <c r="J270" s="120"/>
      <c r="K270" s="120"/>
    </row>
    <row r="271" spans="1:11" ht="16.5" customHeight="1" x14ac:dyDescent="0.25">
      <c r="A271" s="120">
        <v>270</v>
      </c>
      <c r="B271" s="120" t="e">
        <f>IF(#REF!="","",#REF!)</f>
        <v>#REF!</v>
      </c>
      <c r="C271" s="120" t="str">
        <f>IFERROR(VLOOKUP(B271,#REF!,5,FALSE),"")</f>
        <v/>
      </c>
      <c r="D271" s="223" t="str">
        <f>IFERROR(VLOOKUP(B271,#REF!,4,FALSE),"")</f>
        <v/>
      </c>
      <c r="E271" s="120">
        <v>270</v>
      </c>
      <c r="F271" s="224" t="e">
        <f t="shared" si="7"/>
        <v>#REF!</v>
      </c>
      <c r="G271" s="120"/>
      <c r="H271" s="120"/>
      <c r="I271" s="120"/>
      <c r="J271" s="120"/>
      <c r="K271" s="120"/>
    </row>
    <row r="272" spans="1:11" ht="16.5" customHeight="1" x14ac:dyDescent="0.25">
      <c r="A272" s="120">
        <v>271</v>
      </c>
      <c r="B272" s="120" t="e">
        <f>IF(#REF!="","",#REF!)</f>
        <v>#REF!</v>
      </c>
      <c r="C272" s="120" t="str">
        <f>IFERROR(VLOOKUP(B272,#REF!,5,FALSE),"")</f>
        <v/>
      </c>
      <c r="D272" s="223" t="str">
        <f>IFERROR(VLOOKUP(B272,#REF!,4,FALSE),"")</f>
        <v/>
      </c>
      <c r="E272" s="120">
        <v>271</v>
      </c>
      <c r="F272" s="224" t="e">
        <f t="shared" si="7"/>
        <v>#REF!</v>
      </c>
      <c r="G272" s="120"/>
      <c r="H272" s="120"/>
      <c r="I272" s="120"/>
      <c r="J272" s="120"/>
      <c r="K272" s="120"/>
    </row>
    <row r="273" spans="1:11" ht="16.5" customHeight="1" x14ac:dyDescent="0.25">
      <c r="A273" s="120">
        <v>272</v>
      </c>
      <c r="B273" s="120" t="e">
        <f>IF(#REF!="","",#REF!)</f>
        <v>#REF!</v>
      </c>
      <c r="C273" s="120" t="str">
        <f>IFERROR(VLOOKUP(B273,#REF!,5,FALSE),"")</f>
        <v/>
      </c>
      <c r="D273" s="223" t="str">
        <f>IFERROR(VLOOKUP(B273,#REF!,4,FALSE),"")</f>
        <v/>
      </c>
      <c r="E273" s="120">
        <v>272</v>
      </c>
      <c r="F273" s="224" t="e">
        <f t="shared" si="7"/>
        <v>#REF!</v>
      </c>
      <c r="G273" s="120"/>
      <c r="H273" s="120"/>
      <c r="I273" s="120"/>
      <c r="J273" s="120"/>
      <c r="K273" s="120"/>
    </row>
    <row r="274" spans="1:11" ht="16.5" customHeight="1" x14ac:dyDescent="0.25">
      <c r="A274" s="120">
        <v>273</v>
      </c>
      <c r="B274" s="120" t="e">
        <f>IF(#REF!="","",#REF!)</f>
        <v>#REF!</v>
      </c>
      <c r="C274" s="120" t="str">
        <f>IFERROR(VLOOKUP(B274,#REF!,5,FALSE),"")</f>
        <v/>
      </c>
      <c r="D274" s="223" t="str">
        <f>IFERROR(VLOOKUP(B274,#REF!,4,FALSE),"")</f>
        <v/>
      </c>
      <c r="E274" s="120">
        <v>273</v>
      </c>
      <c r="F274" s="224" t="e">
        <f t="shared" si="7"/>
        <v>#REF!</v>
      </c>
      <c r="G274" s="120"/>
      <c r="H274" s="120"/>
      <c r="I274" s="120"/>
      <c r="J274" s="120"/>
      <c r="K274" s="120"/>
    </row>
    <row r="275" spans="1:11" ht="16.5" customHeight="1" x14ac:dyDescent="0.25">
      <c r="A275" s="120">
        <v>274</v>
      </c>
      <c r="B275" s="120" t="e">
        <f>IF(#REF!="","",#REF!)</f>
        <v>#REF!</v>
      </c>
      <c r="C275" s="120" t="str">
        <f>IFERROR(VLOOKUP(B275,#REF!,5,FALSE),"")</f>
        <v/>
      </c>
      <c r="D275" s="223" t="str">
        <f>IFERROR(VLOOKUP(B275,#REF!,4,FALSE),"")</f>
        <v/>
      </c>
      <c r="E275" s="120">
        <v>274</v>
      </c>
      <c r="F275" s="224" t="e">
        <f t="shared" si="7"/>
        <v>#REF!</v>
      </c>
      <c r="G275" s="120"/>
      <c r="H275" s="120"/>
      <c r="I275" s="120"/>
      <c r="J275" s="120"/>
      <c r="K275" s="120"/>
    </row>
    <row r="276" spans="1:11" ht="16.5" customHeight="1" x14ac:dyDescent="0.25">
      <c r="A276" s="120">
        <v>275</v>
      </c>
      <c r="B276" s="120" t="e">
        <f>IF(#REF!="","",#REF!)</f>
        <v>#REF!</v>
      </c>
      <c r="C276" s="120" t="str">
        <f>IFERROR(VLOOKUP(B276,#REF!,5,FALSE),"")</f>
        <v/>
      </c>
      <c r="D276" s="223" t="str">
        <f>IFERROR(VLOOKUP(B276,#REF!,4,FALSE),"")</f>
        <v/>
      </c>
      <c r="E276" s="120">
        <v>275</v>
      </c>
      <c r="F276" s="224" t="e">
        <f t="shared" si="7"/>
        <v>#REF!</v>
      </c>
      <c r="G276" s="120"/>
      <c r="H276" s="120"/>
      <c r="I276" s="120"/>
      <c r="J276" s="120"/>
      <c r="K276" s="120"/>
    </row>
    <row r="277" spans="1:11" ht="16.5" customHeight="1" x14ac:dyDescent="0.25">
      <c r="A277" s="120">
        <v>276</v>
      </c>
      <c r="B277" s="120" t="e">
        <f>IF(#REF!="","",#REF!)</f>
        <v>#REF!</v>
      </c>
      <c r="C277" s="120" t="str">
        <f>IFERROR(VLOOKUP(B277,#REF!,5,FALSE),"")</f>
        <v/>
      </c>
      <c r="D277" s="223" t="str">
        <f>IFERROR(VLOOKUP(B277,#REF!,4,FALSE),"")</f>
        <v/>
      </c>
      <c r="E277" s="120">
        <v>276</v>
      </c>
      <c r="F277" s="224" t="e">
        <f t="shared" si="7"/>
        <v>#REF!</v>
      </c>
      <c r="G277" s="120"/>
      <c r="H277" s="120"/>
      <c r="I277" s="120"/>
      <c r="J277" s="120"/>
      <c r="K277" s="120"/>
    </row>
    <row r="278" spans="1:11" ht="16.5" customHeight="1" x14ac:dyDescent="0.25">
      <c r="A278" s="120">
        <v>277</v>
      </c>
      <c r="B278" s="120" t="e">
        <f>IF(#REF!="","",#REF!)</f>
        <v>#REF!</v>
      </c>
      <c r="C278" s="120" t="str">
        <f>IFERROR(VLOOKUP(B278,#REF!,5,FALSE),"")</f>
        <v/>
      </c>
      <c r="D278" s="223" t="str">
        <f>IFERROR(VLOOKUP(B278,#REF!,4,FALSE),"")</f>
        <v/>
      </c>
      <c r="E278" s="120">
        <v>277</v>
      </c>
      <c r="F278" s="224" t="e">
        <f t="shared" si="7"/>
        <v>#REF!</v>
      </c>
      <c r="G278" s="120"/>
      <c r="H278" s="120"/>
      <c r="I278" s="120"/>
      <c r="J278" s="120"/>
      <c r="K278" s="120"/>
    </row>
    <row r="279" spans="1:11" ht="16.5" customHeight="1" x14ac:dyDescent="0.25">
      <c r="A279" s="120">
        <v>278</v>
      </c>
      <c r="B279" s="120" t="e">
        <f>IF(#REF!="","",#REF!)</f>
        <v>#REF!</v>
      </c>
      <c r="C279" s="120" t="str">
        <f>IFERROR(VLOOKUP(B279,#REF!,5,FALSE),"")</f>
        <v/>
      </c>
      <c r="D279" s="223" t="str">
        <f>IFERROR(VLOOKUP(B279,#REF!,4,FALSE),"")</f>
        <v/>
      </c>
      <c r="E279" s="120">
        <v>278</v>
      </c>
      <c r="F279" s="224" t="e">
        <f t="shared" si="7"/>
        <v>#REF!</v>
      </c>
      <c r="G279" s="120"/>
      <c r="H279" s="120"/>
      <c r="I279" s="120"/>
      <c r="J279" s="120"/>
      <c r="K279" s="120"/>
    </row>
    <row r="280" spans="1:11" ht="16.5" customHeight="1" x14ac:dyDescent="0.25">
      <c r="A280" s="120">
        <v>279</v>
      </c>
      <c r="B280" s="120" t="e">
        <f>IF(#REF!="","",#REF!)</f>
        <v>#REF!</v>
      </c>
      <c r="C280" s="120" t="str">
        <f>IFERROR(VLOOKUP(B280,#REF!,5,FALSE),"")</f>
        <v/>
      </c>
      <c r="D280" s="223" t="str">
        <f>IFERROR(VLOOKUP(B280,#REF!,4,FALSE),"")</f>
        <v/>
      </c>
      <c r="E280" s="120">
        <v>279</v>
      </c>
      <c r="F280" s="224" t="e">
        <f t="shared" si="7"/>
        <v>#REF!</v>
      </c>
      <c r="G280" s="120"/>
      <c r="H280" s="120"/>
      <c r="I280" s="120"/>
      <c r="J280" s="120"/>
      <c r="K280" s="120"/>
    </row>
    <row r="281" spans="1:11" ht="16.5" customHeight="1" x14ac:dyDescent="0.25">
      <c r="A281" s="120">
        <v>280</v>
      </c>
      <c r="B281" s="120" t="e">
        <f>IF(#REF!="","",#REF!)</f>
        <v>#REF!</v>
      </c>
      <c r="C281" s="120" t="str">
        <f>IFERROR(VLOOKUP(B281,#REF!,5,FALSE),"")</f>
        <v/>
      </c>
      <c r="D281" s="223" t="str">
        <f>IFERROR(VLOOKUP(B281,#REF!,4,FALSE),"")</f>
        <v/>
      </c>
      <c r="E281" s="120">
        <v>280</v>
      </c>
      <c r="F281" s="224" t="e">
        <f t="shared" si="7"/>
        <v>#REF!</v>
      </c>
      <c r="G281" s="120"/>
      <c r="H281" s="120"/>
      <c r="I281" s="120"/>
      <c r="J281" s="120"/>
      <c r="K281" s="120"/>
    </row>
    <row r="282" spans="1:11" ht="16.5" customHeight="1" x14ac:dyDescent="0.25">
      <c r="A282" s="120">
        <v>281</v>
      </c>
      <c r="B282" s="120" t="e">
        <f>IF(#REF!="","",#REF!)</f>
        <v>#REF!</v>
      </c>
      <c r="C282" s="120" t="str">
        <f>IFERROR(VLOOKUP(B282,#REF!,5,FALSE),"")</f>
        <v/>
      </c>
      <c r="D282" s="223" t="str">
        <f>IFERROR(VLOOKUP(B282,#REF!,4,FALSE),"")</f>
        <v/>
      </c>
      <c r="E282" s="120">
        <v>281</v>
      </c>
      <c r="F282" s="224" t="e">
        <f t="shared" si="7"/>
        <v>#REF!</v>
      </c>
      <c r="G282" s="120"/>
      <c r="H282" s="120"/>
      <c r="I282" s="120"/>
      <c r="J282" s="120"/>
      <c r="K282" s="120"/>
    </row>
    <row r="283" spans="1:11" ht="16.5" customHeight="1" x14ac:dyDescent="0.25">
      <c r="A283" s="120">
        <v>282</v>
      </c>
      <c r="B283" s="120" t="e">
        <f>IF(#REF!="","",#REF!)</f>
        <v>#REF!</v>
      </c>
      <c r="C283" s="120" t="str">
        <f>IFERROR(VLOOKUP(B283,#REF!,5,FALSE),"")</f>
        <v/>
      </c>
      <c r="D283" s="223" t="str">
        <f>IFERROR(VLOOKUP(B283,#REF!,4,FALSE),"")</f>
        <v/>
      </c>
      <c r="E283" s="120">
        <v>282</v>
      </c>
      <c r="F283" s="224" t="e">
        <f t="shared" si="7"/>
        <v>#REF!</v>
      </c>
      <c r="G283" s="120"/>
      <c r="H283" s="120"/>
      <c r="I283" s="120"/>
      <c r="J283" s="120"/>
      <c r="K283" s="120"/>
    </row>
    <row r="284" spans="1:11" ht="16.5" customHeight="1" x14ac:dyDescent="0.25">
      <c r="A284" s="120">
        <v>283</v>
      </c>
      <c r="B284" s="120" t="e">
        <f>IF(#REF!="","",#REF!)</f>
        <v>#REF!</v>
      </c>
      <c r="C284" s="120" t="str">
        <f>IFERROR(VLOOKUP(B284,#REF!,5,FALSE),"")</f>
        <v/>
      </c>
      <c r="D284" s="223" t="str">
        <f>IFERROR(VLOOKUP(B284,#REF!,4,FALSE),"")</f>
        <v/>
      </c>
      <c r="E284" s="120">
        <v>283</v>
      </c>
      <c r="F284" s="224" t="e">
        <f t="shared" si="7"/>
        <v>#REF!</v>
      </c>
      <c r="G284" s="120"/>
      <c r="H284" s="120"/>
      <c r="I284" s="120"/>
      <c r="J284" s="120"/>
      <c r="K284" s="120"/>
    </row>
    <row r="285" spans="1:11" ht="16.5" customHeight="1" x14ac:dyDescent="0.25">
      <c r="A285" s="120">
        <v>284</v>
      </c>
      <c r="B285" s="120" t="e">
        <f>IF(#REF!="","",#REF!)</f>
        <v>#REF!</v>
      </c>
      <c r="C285" s="120" t="str">
        <f>IFERROR(VLOOKUP(B285,#REF!,5,FALSE),"")</f>
        <v/>
      </c>
      <c r="D285" s="223" t="str">
        <f>IFERROR(VLOOKUP(B285,#REF!,4,FALSE),"")</f>
        <v/>
      </c>
      <c r="E285" s="120">
        <v>284</v>
      </c>
      <c r="F285" s="224" t="e">
        <f t="shared" si="7"/>
        <v>#REF!</v>
      </c>
      <c r="G285" s="120"/>
      <c r="H285" s="120"/>
      <c r="I285" s="120"/>
      <c r="J285" s="120"/>
      <c r="K285" s="120"/>
    </row>
    <row r="286" spans="1:11" ht="16.5" customHeight="1" x14ac:dyDescent="0.25">
      <c r="A286" s="120">
        <v>285</v>
      </c>
      <c r="B286" s="120" t="e">
        <f>IF(#REF!="","",#REF!)</f>
        <v>#REF!</v>
      </c>
      <c r="C286" s="120" t="str">
        <f>IFERROR(VLOOKUP(B286,#REF!,5,FALSE),"")</f>
        <v/>
      </c>
      <c r="D286" s="223" t="str">
        <f>IFERROR(VLOOKUP(B286,#REF!,4,FALSE),"")</f>
        <v/>
      </c>
      <c r="E286" s="120">
        <v>285</v>
      </c>
      <c r="F286" s="224" t="e">
        <f t="shared" si="7"/>
        <v>#REF!</v>
      </c>
      <c r="G286" s="120"/>
      <c r="H286" s="120"/>
      <c r="I286" s="120"/>
      <c r="J286" s="120"/>
      <c r="K286" s="120"/>
    </row>
    <row r="287" spans="1:11" ht="16.5" customHeight="1" x14ac:dyDescent="0.25">
      <c r="A287" s="120">
        <v>286</v>
      </c>
      <c r="B287" s="120" t="e">
        <f>IF(#REF!="","",#REF!)</f>
        <v>#REF!</v>
      </c>
      <c r="C287" s="120" t="str">
        <f>IFERROR(VLOOKUP(B287,#REF!,5,FALSE),"")</f>
        <v/>
      </c>
      <c r="D287" s="223" t="str">
        <f>IFERROR(VLOOKUP(B287,#REF!,4,FALSE),"")</f>
        <v/>
      </c>
      <c r="E287" s="120">
        <v>286</v>
      </c>
      <c r="F287" s="224" t="e">
        <f t="shared" si="7"/>
        <v>#REF!</v>
      </c>
      <c r="G287" s="120"/>
      <c r="H287" s="120"/>
      <c r="I287" s="120"/>
      <c r="J287" s="120"/>
      <c r="K287" s="120"/>
    </row>
    <row r="288" spans="1:11" ht="16.5" customHeight="1" x14ac:dyDescent="0.25">
      <c r="A288" s="120">
        <v>287</v>
      </c>
      <c r="B288" s="120" t="e">
        <f>IF(#REF!="","",#REF!)</f>
        <v>#REF!</v>
      </c>
      <c r="C288" s="120" t="str">
        <f>IFERROR(VLOOKUP(B288,#REF!,5,FALSE),"")</f>
        <v/>
      </c>
      <c r="D288" s="223" t="str">
        <f>IFERROR(VLOOKUP(B288,#REF!,4,FALSE),"")</f>
        <v/>
      </c>
      <c r="E288" s="120">
        <v>287</v>
      </c>
      <c r="F288" s="224" t="e">
        <f t="shared" si="7"/>
        <v>#REF!</v>
      </c>
      <c r="G288" s="120"/>
      <c r="H288" s="120"/>
      <c r="I288" s="120"/>
      <c r="J288" s="120"/>
      <c r="K288" s="120"/>
    </row>
    <row r="289" spans="1:11" ht="16.5" customHeight="1" x14ac:dyDescent="0.25">
      <c r="A289" s="120">
        <v>288</v>
      </c>
      <c r="B289" s="120" t="e">
        <f>IF(#REF!="","",#REF!)</f>
        <v>#REF!</v>
      </c>
      <c r="C289" s="120" t="str">
        <f>IFERROR(VLOOKUP(B289,#REF!,5,FALSE),"")</f>
        <v/>
      </c>
      <c r="D289" s="223" t="str">
        <f>IFERROR(VLOOKUP(B289,#REF!,4,FALSE),"")</f>
        <v/>
      </c>
      <c r="E289" s="120">
        <v>288</v>
      </c>
      <c r="F289" s="224" t="e">
        <f t="shared" si="7"/>
        <v>#REF!</v>
      </c>
      <c r="G289" s="120"/>
      <c r="H289" s="120"/>
      <c r="I289" s="120"/>
      <c r="J289" s="120"/>
      <c r="K289" s="120"/>
    </row>
    <row r="290" spans="1:11" ht="16.5" customHeight="1" x14ac:dyDescent="0.25">
      <c r="A290" s="120">
        <v>289</v>
      </c>
      <c r="B290" s="120" t="e">
        <f>IF(#REF!="","",#REF!)</f>
        <v>#REF!</v>
      </c>
      <c r="C290" s="120" t="str">
        <f>IFERROR(VLOOKUP(B290,#REF!,5,FALSE),"")</f>
        <v/>
      </c>
      <c r="D290" s="223" t="str">
        <f>IFERROR(VLOOKUP(B290,#REF!,4,FALSE),"")</f>
        <v/>
      </c>
      <c r="E290" s="120">
        <v>289</v>
      </c>
      <c r="F290" s="224" t="e">
        <f t="shared" si="7"/>
        <v>#REF!</v>
      </c>
      <c r="G290" s="120"/>
      <c r="H290" s="120"/>
      <c r="I290" s="120"/>
      <c r="J290" s="120"/>
      <c r="K290" s="120"/>
    </row>
    <row r="291" spans="1:11" ht="16.5" customHeight="1" x14ac:dyDescent="0.25">
      <c r="A291" s="120">
        <v>290</v>
      </c>
      <c r="B291" s="120" t="e">
        <f>IF(#REF!="","",#REF!)</f>
        <v>#REF!</v>
      </c>
      <c r="C291" s="120" t="str">
        <f>IFERROR(VLOOKUP(B291,#REF!,5,FALSE),"")</f>
        <v/>
      </c>
      <c r="D291" s="223" t="str">
        <f>IFERROR(VLOOKUP(B291,#REF!,4,FALSE),"")</f>
        <v/>
      </c>
      <c r="E291" s="120">
        <v>290</v>
      </c>
      <c r="F291" s="224" t="e">
        <f t="shared" si="7"/>
        <v>#REF!</v>
      </c>
      <c r="G291" s="120"/>
      <c r="H291" s="120"/>
      <c r="I291" s="120"/>
      <c r="J291" s="120"/>
      <c r="K291" s="120"/>
    </row>
    <row r="292" spans="1:11" ht="16.5" customHeight="1" x14ac:dyDescent="0.25">
      <c r="A292" s="120">
        <v>291</v>
      </c>
      <c r="B292" s="120" t="e">
        <f>IF(#REF!="","",#REF!)</f>
        <v>#REF!</v>
      </c>
      <c r="C292" s="120" t="str">
        <f>IFERROR(VLOOKUP(B292,#REF!,5,FALSE),"")</f>
        <v/>
      </c>
      <c r="D292" s="223" t="str">
        <f>IFERROR(VLOOKUP(B292,#REF!,4,FALSE),"")</f>
        <v/>
      </c>
      <c r="E292" s="120">
        <v>291</v>
      </c>
      <c r="F292" s="224" t="e">
        <f t="shared" si="7"/>
        <v>#REF!</v>
      </c>
      <c r="G292" s="120"/>
      <c r="H292" s="120"/>
      <c r="I292" s="120"/>
      <c r="J292" s="120"/>
      <c r="K292" s="120"/>
    </row>
    <row r="293" spans="1:11" ht="16.5" customHeight="1" x14ac:dyDescent="0.25">
      <c r="A293" s="120">
        <v>292</v>
      </c>
      <c r="B293" s="120" t="e">
        <f>IF(#REF!="","",#REF!)</f>
        <v>#REF!</v>
      </c>
      <c r="C293" s="120" t="str">
        <f>IFERROR(VLOOKUP(B293,#REF!,5,FALSE),"")</f>
        <v/>
      </c>
      <c r="D293" s="223" t="str">
        <f>IFERROR(VLOOKUP(B293,#REF!,4,FALSE),"")</f>
        <v/>
      </c>
      <c r="E293" s="120">
        <v>292</v>
      </c>
      <c r="F293" s="224" t="e">
        <f t="shared" si="7"/>
        <v>#REF!</v>
      </c>
      <c r="G293" s="120"/>
      <c r="H293" s="120"/>
      <c r="I293" s="120"/>
      <c r="J293" s="120"/>
      <c r="K293" s="120"/>
    </row>
    <row r="294" spans="1:11" ht="16.5" customHeight="1" x14ac:dyDescent="0.25">
      <c r="A294" s="120">
        <v>293</v>
      </c>
      <c r="B294" s="120" t="e">
        <f>IF(#REF!="","",#REF!)</f>
        <v>#REF!</v>
      </c>
      <c r="C294" s="120" t="str">
        <f>IFERROR(VLOOKUP(B294,#REF!,5,FALSE),"")</f>
        <v/>
      </c>
      <c r="D294" s="223" t="str">
        <f>IFERROR(VLOOKUP(B294,#REF!,4,FALSE),"")</f>
        <v/>
      </c>
      <c r="E294" s="120">
        <v>293</v>
      </c>
      <c r="F294" s="224" t="e">
        <f t="shared" si="7"/>
        <v>#REF!</v>
      </c>
      <c r="G294" s="120"/>
      <c r="H294" s="120"/>
      <c r="I294" s="120"/>
      <c r="J294" s="120"/>
      <c r="K294" s="120"/>
    </row>
    <row r="295" spans="1:11" ht="16.5" customHeight="1" x14ac:dyDescent="0.25">
      <c r="A295" s="120">
        <v>294</v>
      </c>
      <c r="B295" s="120" t="e">
        <f>IF(#REF!="","",#REF!)</f>
        <v>#REF!</v>
      </c>
      <c r="C295" s="120" t="str">
        <f>IFERROR(VLOOKUP(B295,#REF!,5,FALSE),"")</f>
        <v/>
      </c>
      <c r="D295" s="223" t="str">
        <f>IFERROR(VLOOKUP(B295,#REF!,4,FALSE),"")</f>
        <v/>
      </c>
      <c r="E295" s="120">
        <v>294</v>
      </c>
      <c r="F295" s="224" t="e">
        <f t="shared" si="7"/>
        <v>#REF!</v>
      </c>
      <c r="G295" s="120"/>
      <c r="H295" s="120"/>
      <c r="I295" s="120"/>
      <c r="J295" s="120"/>
      <c r="K295" s="120"/>
    </row>
    <row r="296" spans="1:11" ht="16.5" customHeight="1" x14ac:dyDescent="0.25">
      <c r="A296" s="120">
        <v>295</v>
      </c>
      <c r="B296" s="120" t="e">
        <f>IF(#REF!="","",#REF!)</f>
        <v>#REF!</v>
      </c>
      <c r="C296" s="120" t="str">
        <f>IFERROR(VLOOKUP(B296,#REF!,5,FALSE),"")</f>
        <v/>
      </c>
      <c r="D296" s="223" t="str">
        <f>IFERROR(VLOOKUP(B296,#REF!,4,FALSE),"")</f>
        <v/>
      </c>
      <c r="E296" s="120">
        <v>295</v>
      </c>
      <c r="F296" s="224" t="e">
        <f t="shared" si="7"/>
        <v>#REF!</v>
      </c>
      <c r="G296" s="120"/>
      <c r="H296" s="120"/>
      <c r="I296" s="120"/>
      <c r="J296" s="120"/>
      <c r="K296" s="120"/>
    </row>
    <row r="297" spans="1:11" ht="16.5" customHeight="1" x14ac:dyDescent="0.25">
      <c r="A297" s="120">
        <v>296</v>
      </c>
      <c r="B297" s="120" t="e">
        <f>IF(#REF!="","",#REF!)</f>
        <v>#REF!</v>
      </c>
      <c r="C297" s="120" t="str">
        <f>IFERROR(VLOOKUP(B297,#REF!,5,FALSE),"")</f>
        <v/>
      </c>
      <c r="D297" s="223" t="str">
        <f>IFERROR(VLOOKUP(B297,#REF!,4,FALSE),"")</f>
        <v/>
      </c>
      <c r="E297" s="120">
        <v>296</v>
      </c>
      <c r="F297" s="224" t="e">
        <f t="shared" si="7"/>
        <v>#REF!</v>
      </c>
      <c r="G297" s="120"/>
      <c r="H297" s="120"/>
      <c r="I297" s="120"/>
      <c r="J297" s="120"/>
      <c r="K297" s="120"/>
    </row>
    <row r="298" spans="1:11" ht="16.5" customHeight="1" x14ac:dyDescent="0.25">
      <c r="A298" s="120">
        <v>297</v>
      </c>
      <c r="B298" s="120" t="e">
        <f>IF(#REF!="","",#REF!)</f>
        <v>#REF!</v>
      </c>
      <c r="C298" s="120" t="str">
        <f>IFERROR(VLOOKUP(B298,#REF!,5,FALSE),"")</f>
        <v/>
      </c>
      <c r="D298" s="223" t="str">
        <f>IFERROR(VLOOKUP(B298,#REF!,4,FALSE),"")</f>
        <v/>
      </c>
      <c r="E298" s="120">
        <v>297</v>
      </c>
      <c r="F298" s="224" t="e">
        <f t="shared" si="7"/>
        <v>#REF!</v>
      </c>
      <c r="G298" s="120"/>
      <c r="H298" s="120"/>
      <c r="I298" s="120"/>
      <c r="J298" s="120"/>
      <c r="K298" s="120"/>
    </row>
    <row r="299" spans="1:11" ht="16.5" customHeight="1" x14ac:dyDescent="0.25">
      <c r="A299" s="120">
        <v>298</v>
      </c>
      <c r="B299" s="120" t="e">
        <f>IF(#REF!="","",#REF!)</f>
        <v>#REF!</v>
      </c>
      <c r="C299" s="120" t="str">
        <f>IFERROR(VLOOKUP(B299,#REF!,5,FALSE),"")</f>
        <v/>
      </c>
      <c r="D299" s="223" t="str">
        <f>IFERROR(VLOOKUP(B299,#REF!,4,FALSE),"")</f>
        <v/>
      </c>
      <c r="E299" s="120">
        <v>298</v>
      </c>
      <c r="F299" s="224" t="e">
        <f t="shared" si="7"/>
        <v>#REF!</v>
      </c>
      <c r="G299" s="120"/>
      <c r="H299" s="120"/>
      <c r="I299" s="120"/>
      <c r="J299" s="120"/>
      <c r="K299" s="120"/>
    </row>
    <row r="300" spans="1:11" ht="16.5" customHeight="1" x14ac:dyDescent="0.25">
      <c r="A300" s="120">
        <v>299</v>
      </c>
      <c r="B300" s="120" t="e">
        <f>IF(#REF!="","",#REF!)</f>
        <v>#REF!</v>
      </c>
      <c r="C300" s="120" t="str">
        <f>IFERROR(VLOOKUP(B300,#REF!,5,FALSE),"")</f>
        <v/>
      </c>
      <c r="D300" s="223" t="str">
        <f>IFERROR(VLOOKUP(B300,#REF!,4,FALSE),"")</f>
        <v/>
      </c>
      <c r="E300" s="120">
        <v>299</v>
      </c>
      <c r="F300" s="224" t="e">
        <f t="shared" si="7"/>
        <v>#REF!</v>
      </c>
      <c r="G300" s="120"/>
      <c r="H300" s="120"/>
      <c r="I300" s="120"/>
      <c r="J300" s="120"/>
      <c r="K300" s="120"/>
    </row>
    <row r="301" spans="1:11" ht="16.5" customHeight="1" x14ac:dyDescent="0.25">
      <c r="A301" s="120">
        <v>300</v>
      </c>
      <c r="B301" s="120" t="e">
        <f>IF(#REF!="","",#REF!)</f>
        <v>#REF!</v>
      </c>
      <c r="C301" s="120" t="str">
        <f>IFERROR(VLOOKUP(B301,#REF!,5,FALSE),"")</f>
        <v/>
      </c>
      <c r="D301" s="223" t="str">
        <f>IFERROR(VLOOKUP(B301,#REF!,4,FALSE),"")</f>
        <v/>
      </c>
      <c r="E301" s="120">
        <v>300</v>
      </c>
      <c r="F301" s="224" t="e">
        <f t="shared" si="7"/>
        <v>#REF!</v>
      </c>
      <c r="G301" s="120"/>
      <c r="H301" s="120"/>
      <c r="I301" s="120"/>
      <c r="J301" s="120"/>
      <c r="K301" s="120"/>
    </row>
    <row r="302" spans="1:11" ht="16.5" customHeight="1" x14ac:dyDescent="0.25">
      <c r="A302" s="120" t="str">
        <f>IFERROR(VLOOKUP(#REF!,#REF!,17,FALSE),"")</f>
        <v/>
      </c>
      <c r="B302" s="120"/>
      <c r="C302" s="120"/>
      <c r="D302" s="120"/>
      <c r="E302" s="120"/>
      <c r="F302" s="120"/>
      <c r="G302" s="120"/>
      <c r="H302" s="120"/>
      <c r="I302" s="120"/>
      <c r="J302" s="120"/>
      <c r="K302" s="120"/>
    </row>
    <row r="303" spans="1:11" ht="16.5" customHeight="1" x14ac:dyDescent="0.25">
      <c r="A303" s="120" t="str">
        <f>IFERROR(VLOOKUP(#REF!,#REF!,17,FALSE),"")</f>
        <v/>
      </c>
      <c r="B303" s="120"/>
      <c r="C303" s="120"/>
      <c r="D303" s="120"/>
      <c r="E303" s="120"/>
      <c r="F303" s="120"/>
      <c r="G303" s="120"/>
      <c r="H303" s="120"/>
      <c r="I303" s="120"/>
      <c r="J303" s="120"/>
      <c r="K303" s="120"/>
    </row>
    <row r="304" spans="1:11" ht="16.5" customHeight="1" x14ac:dyDescent="0.25">
      <c r="A304" s="120" t="str">
        <f>IFERROR(VLOOKUP(#REF!,#REF!,17,FALSE),"")</f>
        <v/>
      </c>
      <c r="B304" s="120"/>
      <c r="C304" s="120"/>
      <c r="D304" s="120"/>
      <c r="E304" s="120"/>
      <c r="F304" s="120"/>
      <c r="G304" s="120"/>
      <c r="H304" s="120"/>
      <c r="I304" s="120"/>
      <c r="J304" s="120"/>
      <c r="K304" s="120"/>
    </row>
    <row r="305" spans="1:11" ht="16.5" customHeight="1" x14ac:dyDescent="0.25">
      <c r="A305" s="120" t="str">
        <f>IFERROR(VLOOKUP(#REF!,#REF!,17,FALSE),"")</f>
        <v/>
      </c>
      <c r="B305" s="120"/>
      <c r="C305" s="120"/>
      <c r="D305" s="120"/>
      <c r="E305" s="120"/>
      <c r="F305" s="120"/>
      <c r="G305" s="120"/>
      <c r="H305" s="120"/>
      <c r="I305" s="120"/>
      <c r="J305" s="120"/>
      <c r="K305" s="120"/>
    </row>
    <row r="306" spans="1:11" ht="16.5" customHeight="1" x14ac:dyDescent="0.25">
      <c r="A306" s="120" t="str">
        <f>IFERROR(VLOOKUP(#REF!,#REF!,17,FALSE),"")</f>
        <v/>
      </c>
      <c r="B306" s="120"/>
      <c r="C306" s="120"/>
      <c r="D306" s="120"/>
      <c r="E306" s="120"/>
      <c r="F306" s="120"/>
      <c r="G306" s="120"/>
      <c r="H306" s="120"/>
      <c r="I306" s="120"/>
      <c r="J306" s="120"/>
      <c r="K306" s="120"/>
    </row>
    <row r="307" spans="1:11" ht="16.5" customHeight="1" x14ac:dyDescent="0.25">
      <c r="A307" s="120" t="str">
        <f>IFERROR(VLOOKUP(#REF!,#REF!,17,FALSE),"")</f>
        <v/>
      </c>
      <c r="B307" s="120"/>
      <c r="C307" s="120"/>
      <c r="D307" s="120"/>
      <c r="E307" s="120"/>
      <c r="F307" s="120"/>
      <c r="G307" s="120"/>
      <c r="H307" s="120"/>
      <c r="I307" s="120"/>
      <c r="J307" s="120"/>
      <c r="K307" s="120"/>
    </row>
    <row r="308" spans="1:11" ht="16.5" customHeight="1" x14ac:dyDescent="0.25">
      <c r="A308" s="120" t="str">
        <f>IFERROR(VLOOKUP(#REF!,#REF!,17,FALSE),"")</f>
        <v/>
      </c>
      <c r="B308" s="120"/>
      <c r="C308" s="120"/>
      <c r="D308" s="120"/>
      <c r="E308" s="120"/>
      <c r="F308" s="120"/>
      <c r="G308" s="120"/>
      <c r="H308" s="120"/>
      <c r="I308" s="120"/>
      <c r="J308" s="120"/>
      <c r="K308" s="120"/>
    </row>
    <row r="309" spans="1:11" ht="16.5" customHeight="1" x14ac:dyDescent="0.25">
      <c r="A309" s="120" t="str">
        <f>IFERROR(VLOOKUP(#REF!,#REF!,17,FALSE),"")</f>
        <v/>
      </c>
      <c r="B309" s="120"/>
      <c r="C309" s="120"/>
      <c r="D309" s="120"/>
      <c r="E309" s="120"/>
      <c r="F309" s="120"/>
      <c r="G309" s="120"/>
      <c r="H309" s="120"/>
      <c r="I309" s="120"/>
      <c r="J309" s="120"/>
      <c r="K309" s="120"/>
    </row>
    <row r="310" spans="1:11" ht="16.5" customHeight="1" x14ac:dyDescent="0.25">
      <c r="A310" s="120" t="str">
        <f>IFERROR(VLOOKUP(#REF!,#REF!,17,FALSE),"")</f>
        <v/>
      </c>
      <c r="B310" s="120"/>
      <c r="C310" s="120"/>
      <c r="D310" s="120"/>
      <c r="E310" s="120"/>
      <c r="F310" s="120"/>
      <c r="G310" s="120"/>
      <c r="H310" s="120"/>
      <c r="I310" s="120"/>
      <c r="J310" s="120"/>
      <c r="K310" s="120"/>
    </row>
    <row r="311" spans="1:11" ht="16.5" customHeight="1" x14ac:dyDescent="0.25">
      <c r="A311" s="120" t="str">
        <f>IFERROR(VLOOKUP(#REF!,#REF!,17,FALSE),"")</f>
        <v/>
      </c>
      <c r="B311" s="120"/>
      <c r="C311" s="120"/>
      <c r="D311" s="120"/>
      <c r="E311" s="120"/>
      <c r="F311" s="120"/>
      <c r="G311" s="120"/>
      <c r="H311" s="120"/>
      <c r="I311" s="120"/>
      <c r="J311" s="120"/>
      <c r="K311" s="120"/>
    </row>
    <row r="312" spans="1:11" ht="16.5" customHeight="1" x14ac:dyDescent="0.25">
      <c r="A312" s="120" t="str">
        <f>IFERROR(VLOOKUP(#REF!,#REF!,17,FALSE),"")</f>
        <v/>
      </c>
      <c r="B312" s="120"/>
      <c r="C312" s="120"/>
      <c r="D312" s="120"/>
      <c r="E312" s="120"/>
      <c r="F312" s="120"/>
      <c r="G312" s="120"/>
      <c r="H312" s="120"/>
      <c r="I312" s="120"/>
      <c r="J312" s="120"/>
      <c r="K312" s="120"/>
    </row>
    <row r="313" spans="1:11" ht="16.5" customHeight="1" x14ac:dyDescent="0.25">
      <c r="A313" s="120" t="str">
        <f>IFERROR(VLOOKUP(#REF!,#REF!,17,FALSE),"")</f>
        <v/>
      </c>
      <c r="B313" s="120"/>
      <c r="C313" s="120"/>
      <c r="D313" s="120"/>
      <c r="E313" s="120"/>
      <c r="F313" s="120"/>
      <c r="G313" s="120"/>
      <c r="H313" s="120"/>
      <c r="I313" s="120"/>
      <c r="J313" s="120"/>
      <c r="K313" s="120"/>
    </row>
    <row r="314" spans="1:11" ht="16.5" customHeight="1" x14ac:dyDescent="0.25">
      <c r="A314" s="120" t="str">
        <f>IFERROR(VLOOKUP(#REF!,#REF!,17,FALSE),"")</f>
        <v/>
      </c>
      <c r="B314" s="120"/>
      <c r="C314" s="120"/>
      <c r="D314" s="120"/>
      <c r="E314" s="120"/>
      <c r="F314" s="120"/>
      <c r="G314" s="120"/>
      <c r="H314" s="120"/>
      <c r="I314" s="120"/>
      <c r="J314" s="120"/>
      <c r="K314" s="120"/>
    </row>
    <row r="315" spans="1:11" ht="16.5" customHeight="1" x14ac:dyDescent="0.25">
      <c r="A315" s="120" t="str">
        <f>IFERROR(VLOOKUP(#REF!,#REF!,17,FALSE),"")</f>
        <v/>
      </c>
      <c r="B315" s="120"/>
      <c r="C315" s="120"/>
      <c r="D315" s="120"/>
      <c r="E315" s="120"/>
      <c r="F315" s="120"/>
      <c r="G315" s="120"/>
      <c r="H315" s="120"/>
      <c r="I315" s="120"/>
      <c r="J315" s="120"/>
      <c r="K315" s="120"/>
    </row>
    <row r="316" spans="1:11" ht="16.5" customHeight="1" x14ac:dyDescent="0.25">
      <c r="A316" s="120" t="str">
        <f>IFERROR(VLOOKUP(#REF!,#REF!,17,FALSE),"")</f>
        <v/>
      </c>
      <c r="B316" s="120"/>
      <c r="C316" s="120"/>
      <c r="D316" s="120"/>
      <c r="E316" s="120"/>
      <c r="F316" s="120"/>
      <c r="G316" s="120"/>
      <c r="H316" s="120"/>
      <c r="I316" s="120"/>
      <c r="J316" s="120"/>
      <c r="K316" s="120"/>
    </row>
    <row r="317" spans="1:11" ht="16.5" customHeight="1" x14ac:dyDescent="0.25">
      <c r="A317" s="120" t="str">
        <f>IFERROR(VLOOKUP(#REF!,#REF!,17,FALSE),"")</f>
        <v/>
      </c>
      <c r="B317" s="120"/>
      <c r="C317" s="120"/>
      <c r="D317" s="120"/>
      <c r="E317" s="120"/>
      <c r="F317" s="120"/>
      <c r="G317" s="120"/>
      <c r="H317" s="120"/>
      <c r="I317" s="120"/>
      <c r="J317" s="120"/>
      <c r="K317" s="120"/>
    </row>
    <row r="318" spans="1:11" ht="16.5" customHeight="1" x14ac:dyDescent="0.25">
      <c r="A318" s="120" t="str">
        <f>IFERROR(VLOOKUP(#REF!,#REF!,17,FALSE),"")</f>
        <v/>
      </c>
      <c r="B318" s="120"/>
      <c r="C318" s="120"/>
      <c r="D318" s="120"/>
      <c r="E318" s="120"/>
      <c r="F318" s="120"/>
      <c r="G318" s="120"/>
      <c r="H318" s="120"/>
      <c r="I318" s="120"/>
      <c r="J318" s="120"/>
      <c r="K318" s="120"/>
    </row>
    <row r="319" spans="1:11" ht="16.5" customHeight="1" x14ac:dyDescent="0.25">
      <c r="A319" s="120" t="str">
        <f>IFERROR(VLOOKUP(#REF!,#REF!,17,FALSE),"")</f>
        <v/>
      </c>
      <c r="B319" s="120"/>
      <c r="C319" s="120"/>
      <c r="D319" s="120"/>
      <c r="E319" s="120"/>
      <c r="F319" s="120"/>
      <c r="G319" s="120"/>
      <c r="H319" s="120"/>
      <c r="I319" s="120"/>
      <c r="J319" s="120"/>
      <c r="K319" s="120"/>
    </row>
    <row r="320" spans="1:11" ht="16.5" customHeight="1" x14ac:dyDescent="0.25">
      <c r="A320" s="120" t="str">
        <f>IFERROR(VLOOKUP(#REF!,#REF!,17,FALSE),"")</f>
        <v/>
      </c>
      <c r="B320" s="120"/>
      <c r="C320" s="120"/>
      <c r="D320" s="120"/>
      <c r="E320" s="120"/>
      <c r="F320" s="120"/>
      <c r="G320" s="120"/>
      <c r="H320" s="120"/>
      <c r="I320" s="120"/>
      <c r="J320" s="120"/>
      <c r="K320" s="120"/>
    </row>
    <row r="321" spans="1:11" ht="16.5" customHeight="1" x14ac:dyDescent="0.25">
      <c r="A321" s="120" t="str">
        <f>IFERROR(VLOOKUP(#REF!,#REF!,17,FALSE),"")</f>
        <v/>
      </c>
      <c r="B321" s="120"/>
      <c r="C321" s="120"/>
      <c r="D321" s="120"/>
      <c r="E321" s="120"/>
      <c r="F321" s="120"/>
      <c r="G321" s="120"/>
      <c r="H321" s="120"/>
      <c r="I321" s="120"/>
      <c r="J321" s="120"/>
      <c r="K321" s="120"/>
    </row>
    <row r="322" spans="1:11" ht="16.5" customHeight="1" x14ac:dyDescent="0.25">
      <c r="A322" s="120" t="str">
        <f>IFERROR(VLOOKUP(#REF!,#REF!,17,FALSE),"")</f>
        <v/>
      </c>
      <c r="B322" s="120"/>
      <c r="C322" s="120"/>
      <c r="D322" s="120"/>
      <c r="E322" s="120"/>
      <c r="F322" s="120"/>
      <c r="G322" s="120"/>
      <c r="H322" s="120"/>
      <c r="I322" s="120"/>
      <c r="J322" s="120"/>
      <c r="K322" s="120"/>
    </row>
    <row r="323" spans="1:11" ht="16.5" customHeight="1" x14ac:dyDescent="0.25">
      <c r="A323" s="120" t="str">
        <f>IFERROR(VLOOKUP(#REF!,#REF!,17,FALSE),"")</f>
        <v/>
      </c>
      <c r="B323" s="120"/>
      <c r="C323" s="120"/>
      <c r="D323" s="120"/>
      <c r="E323" s="120"/>
      <c r="F323" s="120"/>
      <c r="G323" s="120"/>
      <c r="H323" s="120"/>
      <c r="I323" s="120"/>
      <c r="J323" s="120"/>
      <c r="K323" s="120"/>
    </row>
    <row r="324" spans="1:11" ht="16.5" customHeight="1" x14ac:dyDescent="0.25">
      <c r="A324" s="120" t="str">
        <f>IFERROR(VLOOKUP(#REF!,#REF!,17,FALSE),"")</f>
        <v/>
      </c>
      <c r="B324" s="120"/>
      <c r="C324" s="120"/>
      <c r="D324" s="120"/>
      <c r="E324" s="120"/>
      <c r="F324" s="120"/>
      <c r="G324" s="120"/>
      <c r="H324" s="120"/>
      <c r="I324" s="120"/>
      <c r="J324" s="120"/>
      <c r="K324" s="120"/>
    </row>
    <row r="325" spans="1:11" ht="16.5" customHeight="1" x14ac:dyDescent="0.25">
      <c r="A325" s="120" t="str">
        <f>IFERROR(VLOOKUP(#REF!,#REF!,17,FALSE),"")</f>
        <v/>
      </c>
      <c r="B325" s="120"/>
      <c r="C325" s="120"/>
      <c r="D325" s="120"/>
      <c r="E325" s="120"/>
      <c r="F325" s="120"/>
      <c r="G325" s="120"/>
      <c r="H325" s="120"/>
      <c r="I325" s="120"/>
      <c r="J325" s="120"/>
      <c r="K325" s="120"/>
    </row>
    <row r="326" spans="1:11" ht="16.5" customHeight="1" x14ac:dyDescent="0.25">
      <c r="A326" s="120" t="str">
        <f>IFERROR(VLOOKUP(#REF!,#REF!,17,FALSE),"")</f>
        <v/>
      </c>
      <c r="B326" s="120"/>
      <c r="C326" s="120"/>
      <c r="D326" s="120"/>
      <c r="E326" s="120"/>
      <c r="F326" s="120"/>
      <c r="G326" s="120"/>
      <c r="H326" s="120"/>
      <c r="I326" s="120"/>
      <c r="J326" s="120"/>
      <c r="K326" s="120"/>
    </row>
    <row r="327" spans="1:11" ht="16.5" customHeight="1" x14ac:dyDescent="0.25">
      <c r="A327" s="120" t="str">
        <f>IFERROR(VLOOKUP(#REF!,#REF!,17,FALSE),"")</f>
        <v/>
      </c>
      <c r="B327" s="120"/>
      <c r="C327" s="120"/>
      <c r="D327" s="120"/>
      <c r="E327" s="120"/>
      <c r="F327" s="120"/>
      <c r="G327" s="120"/>
      <c r="H327" s="120"/>
      <c r="I327" s="120"/>
      <c r="J327" s="120"/>
      <c r="K327" s="120"/>
    </row>
    <row r="328" spans="1:11" ht="16.5" customHeight="1" x14ac:dyDescent="0.25">
      <c r="A328" s="120" t="str">
        <f>IFERROR(VLOOKUP(#REF!,#REF!,17,FALSE),"")</f>
        <v/>
      </c>
      <c r="B328" s="120"/>
      <c r="C328" s="120"/>
      <c r="D328" s="120"/>
      <c r="E328" s="120"/>
      <c r="F328" s="120"/>
      <c r="G328" s="120"/>
      <c r="H328" s="120"/>
      <c r="I328" s="120"/>
      <c r="J328" s="120"/>
      <c r="K328" s="120"/>
    </row>
    <row r="329" spans="1:11" ht="16.5" customHeight="1" x14ac:dyDescent="0.25">
      <c r="A329" s="120" t="str">
        <f>IFERROR(VLOOKUP(#REF!,#REF!,17,FALSE),"")</f>
        <v/>
      </c>
      <c r="B329" s="120"/>
      <c r="C329" s="120"/>
      <c r="D329" s="120"/>
      <c r="E329" s="120"/>
      <c r="F329" s="120"/>
      <c r="G329" s="120"/>
      <c r="H329" s="120"/>
      <c r="I329" s="120"/>
      <c r="J329" s="120"/>
      <c r="K329" s="120"/>
    </row>
    <row r="330" spans="1:11" ht="16.5" customHeight="1" x14ac:dyDescent="0.25">
      <c r="A330" s="120" t="str">
        <f>IFERROR(VLOOKUP(#REF!,#REF!,17,FALSE),"")</f>
        <v/>
      </c>
      <c r="B330" s="120"/>
      <c r="C330" s="120"/>
      <c r="D330" s="120"/>
      <c r="E330" s="120"/>
      <c r="F330" s="120"/>
      <c r="G330" s="120"/>
      <c r="H330" s="120"/>
      <c r="I330" s="120"/>
      <c r="J330" s="120"/>
      <c r="K330" s="120"/>
    </row>
    <row r="331" spans="1:11" ht="16.5" customHeight="1" x14ac:dyDescent="0.25">
      <c r="A331" s="120" t="str">
        <f>IFERROR(VLOOKUP(#REF!,#REF!,17,FALSE),"")</f>
        <v/>
      </c>
      <c r="B331" s="120"/>
      <c r="C331" s="120"/>
      <c r="D331" s="120"/>
      <c r="E331" s="120"/>
      <c r="F331" s="120"/>
      <c r="G331" s="120"/>
      <c r="H331" s="120"/>
      <c r="I331" s="120"/>
      <c r="J331" s="120"/>
      <c r="K331" s="120"/>
    </row>
    <row r="332" spans="1:11" ht="16.5" customHeight="1" x14ac:dyDescent="0.25">
      <c r="A332" s="120" t="str">
        <f>IFERROR(VLOOKUP(#REF!,#REF!,17,FALSE),"")</f>
        <v/>
      </c>
      <c r="B332" s="120"/>
      <c r="C332" s="120"/>
      <c r="D332" s="120"/>
      <c r="E332" s="120"/>
      <c r="F332" s="120"/>
      <c r="G332" s="120"/>
      <c r="H332" s="120"/>
      <c r="I332" s="120"/>
      <c r="J332" s="120"/>
      <c r="K332" s="120"/>
    </row>
    <row r="333" spans="1:11" ht="16.5" customHeight="1" x14ac:dyDescent="0.25">
      <c r="A333" s="120" t="str">
        <f>IFERROR(VLOOKUP(#REF!,#REF!,17,FALSE),"")</f>
        <v/>
      </c>
      <c r="B333" s="120"/>
      <c r="C333" s="120"/>
      <c r="D333" s="120"/>
      <c r="E333" s="120"/>
      <c r="F333" s="120"/>
      <c r="G333" s="120"/>
      <c r="H333" s="120"/>
      <c r="I333" s="120"/>
      <c r="J333" s="120"/>
      <c r="K333" s="120"/>
    </row>
    <row r="334" spans="1:11" ht="16.5" customHeight="1" x14ac:dyDescent="0.25">
      <c r="A334" s="120" t="str">
        <f>IFERROR(VLOOKUP(#REF!,#REF!,17,FALSE),"")</f>
        <v/>
      </c>
      <c r="B334" s="120"/>
      <c r="C334" s="120"/>
      <c r="D334" s="120"/>
      <c r="E334" s="120"/>
      <c r="F334" s="120"/>
      <c r="G334" s="120"/>
      <c r="H334" s="120"/>
      <c r="I334" s="120"/>
      <c r="J334" s="120"/>
      <c r="K334" s="120"/>
    </row>
    <row r="335" spans="1:11" ht="16.5" customHeight="1" x14ac:dyDescent="0.25">
      <c r="A335" s="120" t="str">
        <f>IFERROR(VLOOKUP(#REF!,#REF!,17,FALSE),"")</f>
        <v/>
      </c>
      <c r="B335" s="120"/>
      <c r="C335" s="120"/>
      <c r="D335" s="120"/>
      <c r="E335" s="120"/>
      <c r="F335" s="120"/>
      <c r="G335" s="120"/>
      <c r="H335" s="120"/>
      <c r="I335" s="120"/>
      <c r="J335" s="120"/>
      <c r="K335" s="120"/>
    </row>
    <row r="336" spans="1:11" ht="16.5" customHeight="1" x14ac:dyDescent="0.25">
      <c r="A336" s="120" t="str">
        <f>IFERROR(VLOOKUP(#REF!,#REF!,17,FALSE),"")</f>
        <v/>
      </c>
      <c r="B336" s="120"/>
      <c r="C336" s="120"/>
      <c r="D336" s="120"/>
      <c r="E336" s="120"/>
      <c r="F336" s="120"/>
      <c r="G336" s="120"/>
      <c r="H336" s="120"/>
      <c r="I336" s="120"/>
      <c r="J336" s="120"/>
      <c r="K336" s="120"/>
    </row>
    <row r="337" spans="1:11" ht="16.5" customHeight="1" x14ac:dyDescent="0.25">
      <c r="A337" s="120" t="str">
        <f>IFERROR(VLOOKUP(#REF!,#REF!,17,FALSE),"")</f>
        <v/>
      </c>
      <c r="B337" s="120"/>
      <c r="C337" s="120"/>
      <c r="D337" s="120"/>
      <c r="E337" s="120"/>
      <c r="F337" s="120"/>
      <c r="G337" s="120"/>
      <c r="H337" s="120"/>
      <c r="I337" s="120"/>
      <c r="J337" s="120"/>
      <c r="K337" s="120"/>
    </row>
    <row r="338" spans="1:11" ht="16.5" customHeight="1" x14ac:dyDescent="0.25">
      <c r="A338" s="120" t="str">
        <f>IFERROR(VLOOKUP(#REF!,#REF!,17,FALSE),"")</f>
        <v/>
      </c>
      <c r="B338" s="120"/>
      <c r="C338" s="120"/>
      <c r="D338" s="120"/>
      <c r="E338" s="120"/>
      <c r="F338" s="120"/>
      <c r="G338" s="120"/>
      <c r="H338" s="120"/>
      <c r="I338" s="120"/>
      <c r="J338" s="120"/>
      <c r="K338" s="120"/>
    </row>
    <row r="339" spans="1:11" ht="16.5" customHeight="1" x14ac:dyDescent="0.25">
      <c r="A339" s="120" t="str">
        <f>IFERROR(VLOOKUP(#REF!,#REF!,17,FALSE),"")</f>
        <v/>
      </c>
      <c r="B339" s="120"/>
      <c r="C339" s="120"/>
      <c r="D339" s="120"/>
      <c r="E339" s="120"/>
      <c r="F339" s="120"/>
      <c r="G339" s="120"/>
      <c r="H339" s="120"/>
      <c r="I339" s="120"/>
      <c r="J339" s="120"/>
      <c r="K339" s="120"/>
    </row>
    <row r="340" spans="1:11" ht="16.5" customHeight="1" x14ac:dyDescent="0.25">
      <c r="A340" s="120" t="str">
        <f>IFERROR(VLOOKUP(#REF!,#REF!,17,FALSE),"")</f>
        <v/>
      </c>
      <c r="B340" s="120"/>
      <c r="C340" s="120"/>
      <c r="D340" s="120"/>
      <c r="E340" s="120"/>
      <c r="F340" s="120"/>
      <c r="G340" s="120"/>
      <c r="H340" s="120"/>
      <c r="I340" s="120"/>
      <c r="J340" s="120"/>
      <c r="K340" s="120"/>
    </row>
    <row r="341" spans="1:11" ht="16.5" customHeight="1" x14ac:dyDescent="0.25">
      <c r="A341" s="120" t="str">
        <f>IFERROR(VLOOKUP(#REF!,#REF!,17,FALSE),"")</f>
        <v/>
      </c>
      <c r="B341" s="120"/>
      <c r="C341" s="120"/>
      <c r="D341" s="120"/>
      <c r="E341" s="120"/>
      <c r="F341" s="120"/>
      <c r="G341" s="120"/>
      <c r="H341" s="120"/>
      <c r="I341" s="120"/>
      <c r="J341" s="120"/>
      <c r="K341" s="120"/>
    </row>
    <row r="342" spans="1:11" ht="16.5" customHeight="1" x14ac:dyDescent="0.25">
      <c r="A342" s="120" t="str">
        <f>IFERROR(VLOOKUP(#REF!,#REF!,17,FALSE),"")</f>
        <v/>
      </c>
      <c r="B342" s="120"/>
      <c r="C342" s="120"/>
      <c r="D342" s="120"/>
      <c r="E342" s="120"/>
      <c r="F342" s="120"/>
      <c r="G342" s="120"/>
      <c r="H342" s="120"/>
      <c r="I342" s="120"/>
      <c r="J342" s="120"/>
      <c r="K342" s="120"/>
    </row>
    <row r="343" spans="1:11" ht="16.5" customHeight="1" x14ac:dyDescent="0.25">
      <c r="A343" s="120" t="str">
        <f>IFERROR(VLOOKUP(#REF!,#REF!,17,FALSE),"")</f>
        <v/>
      </c>
      <c r="B343" s="120"/>
      <c r="C343" s="120"/>
      <c r="D343" s="120"/>
      <c r="E343" s="120"/>
      <c r="F343" s="120"/>
      <c r="G343" s="120"/>
      <c r="H343" s="120"/>
      <c r="I343" s="120"/>
      <c r="J343" s="120"/>
      <c r="K343" s="120"/>
    </row>
    <row r="344" spans="1:11" ht="16.5" customHeight="1" x14ac:dyDescent="0.25">
      <c r="A344" s="120" t="str">
        <f>IFERROR(VLOOKUP(#REF!,#REF!,17,FALSE),"")</f>
        <v/>
      </c>
      <c r="B344" s="120"/>
      <c r="C344" s="120"/>
      <c r="D344" s="120"/>
      <c r="E344" s="120"/>
      <c r="F344" s="120"/>
      <c r="G344" s="120"/>
      <c r="H344" s="120"/>
      <c r="I344" s="120"/>
      <c r="J344" s="120"/>
      <c r="K344" s="120"/>
    </row>
    <row r="345" spans="1:11" ht="16.5" customHeight="1" x14ac:dyDescent="0.25">
      <c r="A345" s="120" t="str">
        <f>IFERROR(VLOOKUP(#REF!,#REF!,17,FALSE),"")</f>
        <v/>
      </c>
      <c r="B345" s="120"/>
      <c r="C345" s="120"/>
      <c r="D345" s="120"/>
      <c r="E345" s="120"/>
      <c r="F345" s="120"/>
      <c r="G345" s="120"/>
      <c r="H345" s="120"/>
      <c r="I345" s="120"/>
      <c r="J345" s="120"/>
      <c r="K345" s="120"/>
    </row>
    <row r="346" spans="1:11" ht="16.5" customHeight="1" x14ac:dyDescent="0.25">
      <c r="A346" s="120" t="str">
        <f>IFERROR(VLOOKUP(#REF!,#REF!,17,FALSE),"")</f>
        <v/>
      </c>
      <c r="B346" s="120"/>
      <c r="C346" s="120"/>
      <c r="D346" s="120"/>
      <c r="E346" s="120"/>
      <c r="F346" s="120"/>
      <c r="G346" s="120"/>
      <c r="H346" s="120"/>
      <c r="I346" s="120"/>
      <c r="J346" s="120"/>
      <c r="K346" s="120"/>
    </row>
    <row r="347" spans="1:11" ht="16.5" customHeight="1" x14ac:dyDescent="0.25">
      <c r="A347" s="120" t="str">
        <f>IFERROR(VLOOKUP(#REF!,#REF!,17,FALSE),"")</f>
        <v/>
      </c>
      <c r="B347" s="120"/>
      <c r="C347" s="120"/>
      <c r="D347" s="120"/>
      <c r="E347" s="120"/>
      <c r="F347" s="120"/>
      <c r="G347" s="120"/>
      <c r="H347" s="120"/>
      <c r="I347" s="120"/>
      <c r="J347" s="120"/>
      <c r="K347" s="120"/>
    </row>
    <row r="348" spans="1:11" ht="16.5" customHeight="1" x14ac:dyDescent="0.25">
      <c r="A348" s="120" t="str">
        <f>IFERROR(VLOOKUP(#REF!,#REF!,17,FALSE),"")</f>
        <v/>
      </c>
      <c r="B348" s="120"/>
      <c r="C348" s="120"/>
      <c r="D348" s="120"/>
      <c r="E348" s="120"/>
      <c r="F348" s="120"/>
      <c r="G348" s="120"/>
      <c r="H348" s="120"/>
      <c r="I348" s="120"/>
      <c r="J348" s="120"/>
      <c r="K348" s="120"/>
    </row>
    <row r="349" spans="1:11" ht="16.5" customHeight="1" x14ac:dyDescent="0.25">
      <c r="A349" s="120" t="str">
        <f>IFERROR(VLOOKUP(#REF!,#REF!,17,FALSE),"")</f>
        <v/>
      </c>
      <c r="B349" s="120"/>
      <c r="C349" s="120"/>
      <c r="D349" s="120"/>
      <c r="E349" s="120"/>
      <c r="F349" s="120"/>
      <c r="G349" s="120"/>
      <c r="H349" s="120"/>
      <c r="I349" s="120"/>
      <c r="J349" s="120"/>
      <c r="K349" s="120"/>
    </row>
    <row r="350" spans="1:11" ht="16.5" customHeight="1" x14ac:dyDescent="0.25">
      <c r="A350" s="120" t="str">
        <f>IFERROR(VLOOKUP(#REF!,#REF!,17,FALSE),"")</f>
        <v/>
      </c>
      <c r="B350" s="120"/>
      <c r="C350" s="120"/>
      <c r="D350" s="120"/>
      <c r="E350" s="120"/>
      <c r="F350" s="120"/>
      <c r="G350" s="120"/>
      <c r="H350" s="120"/>
      <c r="I350" s="120"/>
      <c r="J350" s="120"/>
      <c r="K350" s="120"/>
    </row>
    <row r="351" spans="1:11" ht="16.5" customHeight="1" x14ac:dyDescent="0.25">
      <c r="A351" s="120" t="str">
        <f>IFERROR(VLOOKUP(#REF!,#REF!,17,FALSE),"")</f>
        <v/>
      </c>
      <c r="B351" s="120"/>
      <c r="C351" s="120"/>
      <c r="D351" s="120"/>
      <c r="E351" s="120"/>
      <c r="F351" s="120"/>
      <c r="G351" s="120"/>
      <c r="H351" s="120"/>
      <c r="I351" s="120"/>
      <c r="J351" s="120"/>
      <c r="K351" s="120"/>
    </row>
    <row r="352" spans="1:11" ht="16.5" customHeight="1" x14ac:dyDescent="0.25">
      <c r="A352" s="120" t="str">
        <f>IFERROR(VLOOKUP(#REF!,#REF!,17,FALSE),"")</f>
        <v/>
      </c>
      <c r="B352" s="120"/>
      <c r="C352" s="120"/>
      <c r="D352" s="120"/>
      <c r="E352" s="120"/>
      <c r="F352" s="120"/>
      <c r="G352" s="120"/>
      <c r="H352" s="120"/>
      <c r="I352" s="120"/>
      <c r="J352" s="120"/>
      <c r="K352" s="120"/>
    </row>
    <row r="353" spans="1:11" ht="16.5" customHeight="1" x14ac:dyDescent="0.25">
      <c r="A353" s="120" t="str">
        <f>IFERROR(VLOOKUP(#REF!,#REF!,17,FALSE),"")</f>
        <v/>
      </c>
      <c r="B353" s="120"/>
      <c r="C353" s="120"/>
      <c r="D353" s="120"/>
      <c r="E353" s="120"/>
      <c r="F353" s="120"/>
      <c r="G353" s="120"/>
      <c r="H353" s="120"/>
      <c r="I353" s="120"/>
      <c r="J353" s="120"/>
      <c r="K353" s="120"/>
    </row>
    <row r="354" spans="1:11" ht="16.5" customHeight="1" x14ac:dyDescent="0.25">
      <c r="A354" s="120" t="str">
        <f>IFERROR(VLOOKUP(#REF!,#REF!,17,FALSE),"")</f>
        <v/>
      </c>
      <c r="B354" s="120"/>
      <c r="C354" s="120"/>
      <c r="D354" s="120"/>
      <c r="E354" s="120"/>
      <c r="F354" s="120"/>
      <c r="G354" s="120"/>
      <c r="H354" s="120"/>
      <c r="I354" s="120"/>
      <c r="J354" s="120"/>
      <c r="K354" s="120"/>
    </row>
    <row r="355" spans="1:11" ht="16.5" customHeight="1" x14ac:dyDescent="0.25">
      <c r="A355" s="120" t="str">
        <f>IFERROR(VLOOKUP(#REF!,#REF!,17,FALSE),"")</f>
        <v/>
      </c>
      <c r="B355" s="120"/>
      <c r="C355" s="120"/>
      <c r="D355" s="120"/>
      <c r="E355" s="120"/>
      <c r="F355" s="120"/>
      <c r="G355" s="120"/>
      <c r="H355" s="120"/>
      <c r="I355" s="120"/>
      <c r="J355" s="120"/>
      <c r="K355" s="120"/>
    </row>
    <row r="356" spans="1:11" ht="16.5" customHeight="1" x14ac:dyDescent="0.25">
      <c r="A356" s="120" t="str">
        <f>IFERROR(VLOOKUP(#REF!,#REF!,17,FALSE),"")</f>
        <v/>
      </c>
      <c r="B356" s="120"/>
      <c r="C356" s="120"/>
      <c r="D356" s="120"/>
      <c r="E356" s="120"/>
      <c r="F356" s="120"/>
      <c r="G356" s="120"/>
      <c r="H356" s="120"/>
      <c r="I356" s="120"/>
      <c r="J356" s="120"/>
      <c r="K356" s="120"/>
    </row>
    <row r="357" spans="1:11" ht="16.5" customHeight="1" x14ac:dyDescent="0.25">
      <c r="A357" s="120" t="str">
        <f>IFERROR(VLOOKUP(#REF!,#REF!,17,FALSE),"")</f>
        <v/>
      </c>
      <c r="B357" s="120"/>
      <c r="C357" s="120"/>
      <c r="D357" s="120"/>
      <c r="E357" s="120"/>
      <c r="F357" s="120"/>
      <c r="G357" s="120"/>
      <c r="H357" s="120"/>
      <c r="I357" s="120"/>
      <c r="J357" s="120"/>
      <c r="K357" s="120"/>
    </row>
    <row r="358" spans="1:11" ht="16.5" customHeight="1" x14ac:dyDescent="0.25">
      <c r="A358" s="120" t="str">
        <f>IFERROR(VLOOKUP(#REF!,#REF!,17,FALSE),"")</f>
        <v/>
      </c>
      <c r="B358" s="120"/>
      <c r="C358" s="120"/>
      <c r="D358" s="120"/>
      <c r="E358" s="120"/>
      <c r="F358" s="120"/>
      <c r="G358" s="120"/>
      <c r="H358" s="120"/>
      <c r="I358" s="120"/>
      <c r="J358" s="120"/>
      <c r="K358" s="120"/>
    </row>
    <row r="359" spans="1:11" ht="16.5" customHeight="1" x14ac:dyDescent="0.25">
      <c r="A359" s="120" t="str">
        <f>IFERROR(VLOOKUP(#REF!,#REF!,17,FALSE),"")</f>
        <v/>
      </c>
      <c r="B359" s="120"/>
      <c r="C359" s="120"/>
      <c r="D359" s="120"/>
      <c r="E359" s="120"/>
      <c r="F359" s="120"/>
      <c r="G359" s="120"/>
      <c r="H359" s="120"/>
      <c r="I359" s="120"/>
      <c r="J359" s="120"/>
      <c r="K359" s="120"/>
    </row>
    <row r="360" spans="1:11" ht="16.5" customHeight="1" x14ac:dyDescent="0.25">
      <c r="A360" s="120" t="str">
        <f>IFERROR(VLOOKUP(#REF!,#REF!,17,FALSE),"")</f>
        <v/>
      </c>
      <c r="B360" s="120"/>
      <c r="C360" s="120"/>
      <c r="D360" s="120"/>
      <c r="E360" s="120"/>
      <c r="F360" s="120"/>
      <c r="G360" s="120"/>
      <c r="H360" s="120"/>
      <c r="I360" s="120"/>
      <c r="J360" s="120"/>
      <c r="K360" s="120"/>
    </row>
    <row r="361" spans="1:11" ht="16.5" customHeight="1" x14ac:dyDescent="0.25">
      <c r="A361" s="120" t="str">
        <f>IFERROR(VLOOKUP(#REF!,#REF!,17,FALSE),"")</f>
        <v/>
      </c>
      <c r="B361" s="120"/>
      <c r="C361" s="120"/>
      <c r="D361" s="120"/>
      <c r="E361" s="120"/>
      <c r="F361" s="120"/>
      <c r="G361" s="120"/>
      <c r="H361" s="120"/>
      <c r="I361" s="120"/>
      <c r="J361" s="120"/>
      <c r="K361" s="120"/>
    </row>
    <row r="362" spans="1:11" ht="16.5" customHeight="1" x14ac:dyDescent="0.25">
      <c r="A362" s="120" t="str">
        <f>IFERROR(VLOOKUP(#REF!,#REF!,17,FALSE),"")</f>
        <v/>
      </c>
      <c r="B362" s="120"/>
      <c r="C362" s="120"/>
      <c r="D362" s="120"/>
      <c r="E362" s="120"/>
      <c r="F362" s="120"/>
      <c r="G362" s="120"/>
      <c r="H362" s="120"/>
      <c r="I362" s="120"/>
      <c r="J362" s="120"/>
      <c r="K362" s="120"/>
    </row>
    <row r="363" spans="1:11" ht="16.5" customHeight="1" x14ac:dyDescent="0.25">
      <c r="A363" s="120" t="str">
        <f>IFERROR(VLOOKUP(#REF!,#REF!,17,FALSE),"")</f>
        <v/>
      </c>
      <c r="B363" s="120"/>
      <c r="C363" s="120"/>
      <c r="D363" s="120"/>
      <c r="E363" s="120"/>
      <c r="F363" s="120"/>
      <c r="G363" s="120"/>
      <c r="I363" s="120"/>
      <c r="J363" s="120"/>
      <c r="K363" s="120"/>
    </row>
  </sheetData>
  <mergeCells count="3">
    <mergeCell ref="E1:G1"/>
    <mergeCell ref="AI18:AJ18"/>
    <mergeCell ref="AI41:AK41"/>
  </mergeCells>
  <phoneticPr fontId="4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D311"/>
  <sheetViews>
    <sheetView topLeftCell="N1" zoomScale="70" zoomScaleNormal="70" workbookViewId="0">
      <selection activeCell="AL24" sqref="AL24"/>
    </sheetView>
  </sheetViews>
  <sheetFormatPr defaultColWidth="9" defaultRowHeight="16.5" customHeight="1" x14ac:dyDescent="0.25"/>
  <cols>
    <col min="1" max="1" width="9" style="114" customWidth="1"/>
    <col min="2" max="16384" width="9" style="114"/>
  </cols>
  <sheetData>
    <row r="1" spans="1:56" ht="16.5" customHeight="1" x14ac:dyDescent="0.25">
      <c r="B1" s="134" t="s">
        <v>533</v>
      </c>
      <c r="C1" s="135" t="s">
        <v>534</v>
      </c>
      <c r="D1" s="136" t="s">
        <v>535</v>
      </c>
      <c r="E1" s="137" t="s">
        <v>536</v>
      </c>
      <c r="F1" s="138" t="s">
        <v>537</v>
      </c>
      <c r="G1" s="139" t="s">
        <v>538</v>
      </c>
      <c r="H1" s="140" t="s">
        <v>539</v>
      </c>
      <c r="I1" s="141" t="s">
        <v>540</v>
      </c>
      <c r="T1" s="129" t="s">
        <v>62</v>
      </c>
      <c r="U1" s="129" t="s">
        <v>541</v>
      </c>
      <c r="V1" s="129" t="s">
        <v>71</v>
      </c>
      <c r="W1" s="129" t="s">
        <v>541</v>
      </c>
      <c r="X1" s="129" t="s">
        <v>72</v>
      </c>
      <c r="Y1" s="129" t="s">
        <v>541</v>
      </c>
      <c r="Z1" s="129" t="s">
        <v>542</v>
      </c>
      <c r="AA1" s="129" t="s">
        <v>541</v>
      </c>
      <c r="AC1" s="275" t="s">
        <v>543</v>
      </c>
      <c r="AD1" s="276"/>
      <c r="AE1" s="142" t="s">
        <v>544</v>
      </c>
      <c r="AF1" s="143" t="s">
        <v>545</v>
      </c>
      <c r="AH1" s="144" t="s">
        <v>546</v>
      </c>
      <c r="AI1" s="144" t="s">
        <v>77</v>
      </c>
      <c r="AJ1" s="144" t="s">
        <v>547</v>
      </c>
      <c r="AK1" s="144" t="s">
        <v>58</v>
      </c>
      <c r="AL1" s="144" t="s">
        <v>77</v>
      </c>
      <c r="AN1" s="145" t="s">
        <v>548</v>
      </c>
      <c r="AO1" s="146" t="s">
        <v>549</v>
      </c>
      <c r="AP1" s="146" t="s">
        <v>550</v>
      </c>
      <c r="AQ1" s="146" t="s">
        <v>551</v>
      </c>
      <c r="AR1" s="146" t="s">
        <v>552</v>
      </c>
      <c r="AS1" s="146" t="s">
        <v>553</v>
      </c>
      <c r="AT1" s="146" t="s">
        <v>554</v>
      </c>
      <c r="AU1" s="146" t="s">
        <v>555</v>
      </c>
      <c r="AV1" s="146" t="s">
        <v>556</v>
      </c>
      <c r="AW1" s="146" t="s">
        <v>557</v>
      </c>
      <c r="AX1" s="147" t="s">
        <v>134</v>
      </c>
      <c r="AY1" s="148" t="s">
        <v>558</v>
      </c>
      <c r="AZ1" s="146" t="s">
        <v>549</v>
      </c>
      <c r="BA1" s="146" t="s">
        <v>550</v>
      </c>
      <c r="BB1" s="146" t="s">
        <v>551</v>
      </c>
      <c r="BC1" s="146" t="s">
        <v>552</v>
      </c>
      <c r="BD1" s="146" t="s">
        <v>553</v>
      </c>
    </row>
    <row r="2" spans="1:56" ht="16.5" customHeight="1" x14ac:dyDescent="0.25">
      <c r="A2" s="149"/>
      <c r="B2" s="149">
        <v>0</v>
      </c>
      <c r="C2" s="149">
        <v>1</v>
      </c>
      <c r="D2" s="149">
        <v>2</v>
      </c>
      <c r="E2" s="149">
        <v>3</v>
      </c>
      <c r="F2" s="149">
        <v>4</v>
      </c>
      <c r="G2" s="149">
        <v>5</v>
      </c>
      <c r="H2" s="149">
        <v>6</v>
      </c>
      <c r="I2" s="149">
        <v>7</v>
      </c>
      <c r="J2" s="149">
        <v>8</v>
      </c>
      <c r="K2" s="149">
        <v>9</v>
      </c>
      <c r="L2" s="149">
        <v>10</v>
      </c>
      <c r="M2" s="149">
        <v>11</v>
      </c>
      <c r="N2" s="149">
        <v>12</v>
      </c>
      <c r="O2" s="149">
        <v>13</v>
      </c>
      <c r="P2" s="149">
        <v>14</v>
      </c>
      <c r="Q2" s="149">
        <v>15</v>
      </c>
      <c r="R2" s="149">
        <v>16</v>
      </c>
      <c r="T2" s="114" t="e">
        <f>#REF!</f>
        <v>#REF!</v>
      </c>
      <c r="U2" s="129" t="str">
        <f>IFERROR(IF(VLOOKUP(T2,B3:R22,2,FALSE)=0,"",VLOOKUP(T2,B3:R22,2,FALSE)),"")</f>
        <v/>
      </c>
      <c r="V2" s="114" t="e">
        <f>#REF!</f>
        <v>#REF!</v>
      </c>
      <c r="W2" s="129" t="str">
        <f>IFERROR(IF(VLOOKUP(V2,B3:R22,2,FALSE)=0,"",VLOOKUP(V2,B3:R22,2,FALSE)),"")</f>
        <v/>
      </c>
      <c r="X2" s="114" t="e">
        <f>#REF!</f>
        <v>#REF!</v>
      </c>
      <c r="Y2" s="129" t="str">
        <f>IFERROR(IF(VLOOKUP(X2,B3:R22,2,FALSE)=0,"",VLOOKUP(X2,B3:R22,2,FALSE)),"")</f>
        <v/>
      </c>
      <c r="Z2" s="114" t="e">
        <f>#REF!</f>
        <v>#REF!</v>
      </c>
      <c r="AA2" s="129" t="str">
        <f>IFERROR(IF(VLOOKUP(Z2,B3:R22,2,FALSE)=0,"",VLOOKUP(Z2,B3:R22,2,FALSE)),"")</f>
        <v/>
      </c>
      <c r="AC2" s="150" t="s">
        <v>193</v>
      </c>
      <c r="AD2" s="143" t="s">
        <v>559</v>
      </c>
      <c r="AE2" s="151" t="str">
        <f>IFERROR(VLOOKUP(#REF!,AC2:AD14,2,FALSE),"")</f>
        <v/>
      </c>
      <c r="AF2" s="152">
        <f>IFERROR(VLOOKUP(AE2,AC16:AD19,2,FALSE),0)</f>
        <v>0</v>
      </c>
      <c r="AH2" s="144" t="s">
        <v>560</v>
      </c>
      <c r="AI2" s="144">
        <f>IFERROR(VLOOKUP(AH2,$AJ$2:$AL$4,3,0),0)</f>
        <v>0</v>
      </c>
      <c r="AJ2" s="144" t="e">
        <f>IF(#REF!="",0,#REF!)</f>
        <v>#REF!</v>
      </c>
      <c r="AK2" s="144" t="e">
        <f>IF(#REF!="",0,#REF!)</f>
        <v>#REF!</v>
      </c>
      <c r="AL2" s="144" t="e">
        <f>IF(#REF!="",0,#REF!)</f>
        <v>#REF!</v>
      </c>
      <c r="AN2" s="153">
        <v>0</v>
      </c>
      <c r="AO2" s="144"/>
      <c r="AP2" s="144"/>
      <c r="AQ2" s="144"/>
      <c r="AR2" s="144"/>
      <c r="AS2" s="144"/>
      <c r="AT2" s="144"/>
      <c r="AU2" s="144"/>
      <c r="AV2" s="144"/>
      <c r="AW2" s="144"/>
      <c r="AX2" s="144"/>
      <c r="AY2" s="153">
        <v>0</v>
      </c>
      <c r="AZ2" s="144"/>
      <c r="BA2" s="144"/>
      <c r="BB2" s="144"/>
      <c r="BC2" s="144"/>
      <c r="BD2" s="144"/>
    </row>
    <row r="3" spans="1:56" ht="16.5" customHeight="1" x14ac:dyDescent="0.25">
      <c r="A3" s="149">
        <v>1</v>
      </c>
      <c r="B3" s="149" t="s">
        <v>560</v>
      </c>
      <c r="C3" s="154" t="s">
        <v>561</v>
      </c>
      <c r="D3" s="154" t="s">
        <v>562</v>
      </c>
      <c r="E3" s="155" t="s">
        <v>563</v>
      </c>
      <c r="F3" s="155" t="s">
        <v>564</v>
      </c>
      <c r="G3" s="155" t="s">
        <v>565</v>
      </c>
      <c r="H3" s="156" t="s">
        <v>566</v>
      </c>
      <c r="I3" s="157" t="s">
        <v>567</v>
      </c>
      <c r="J3" s="158" t="s">
        <v>568</v>
      </c>
      <c r="K3" s="159" t="s">
        <v>569</v>
      </c>
      <c r="L3" s="149"/>
      <c r="M3" s="149"/>
      <c r="N3" s="149"/>
      <c r="O3" s="149"/>
      <c r="P3" s="149"/>
      <c r="Q3" s="149"/>
      <c r="R3" s="149"/>
      <c r="U3" s="129" t="str">
        <f>IFERROR(IF(VLOOKUP(T2,B3:R22,3,FALSE)=0,"",VLOOKUP(T2,B3:R22,3,FALSE)),"")</f>
        <v/>
      </c>
      <c r="W3" s="129" t="str">
        <f>IFERROR(IF(VLOOKUP(V2,B3:R22,3,FALSE)=0,"",VLOOKUP(V2,B3:R22,3,FALSE)),"")</f>
        <v/>
      </c>
      <c r="Y3" s="129" t="str">
        <f>IFERROR(IF(VLOOKUP(X2,B3:R22,3,FALSE)=0,"",VLOOKUP(X2,B3:R22,3,FALSE)),"")</f>
        <v/>
      </c>
      <c r="AA3" s="129" t="str">
        <f>IFERROR(IF(VLOOKUP(Z2,B3:R22,3,FALSE)=0,"",VLOOKUP(Z2,B3:R22,3,FALSE)),"")</f>
        <v/>
      </c>
      <c r="AC3" s="160" t="s">
        <v>181</v>
      </c>
      <c r="AD3" s="152" t="s">
        <v>559</v>
      </c>
      <c r="AE3" s="151" t="str">
        <f>IFERROR(VLOOKUP(#REF!,AC2:AD14,2,FALSE),"")</f>
        <v/>
      </c>
      <c r="AF3" s="152">
        <f>IFERROR(VLOOKUP(AE3,AC16:AD19,2,FALSE),0)</f>
        <v>0</v>
      </c>
      <c r="AH3" s="144" t="s">
        <v>157</v>
      </c>
      <c r="AI3" s="144">
        <f t="shared" ref="AI3:AI14" si="0">IFERROR(VLOOKUP(AH3,$AJ$2:$AL$4,3,0),0)</f>
        <v>0</v>
      </c>
      <c r="AJ3" s="144" t="e">
        <f>IF(#REF!="",0,#REF!)</f>
        <v>#REF!</v>
      </c>
      <c r="AK3" s="144" t="e">
        <f>IF(#REF!="",0,#REF!)</f>
        <v>#REF!</v>
      </c>
      <c r="AL3" s="144" t="e">
        <f>IF(#REF!="",0,#REF!)</f>
        <v>#REF!</v>
      </c>
      <c r="AN3" s="161">
        <v>1</v>
      </c>
      <c r="AO3" s="162">
        <v>2</v>
      </c>
      <c r="AP3" s="162"/>
      <c r="AQ3" s="162"/>
      <c r="AR3" s="162"/>
      <c r="AS3" s="162"/>
      <c r="AT3" s="162"/>
      <c r="AU3" s="162"/>
      <c r="AV3" s="162"/>
      <c r="AW3" s="162"/>
      <c r="AX3" s="162">
        <v>4</v>
      </c>
      <c r="AY3" s="161">
        <v>1</v>
      </c>
      <c r="AZ3" s="162">
        <v>1</v>
      </c>
      <c r="BA3" s="162"/>
      <c r="BB3" s="162"/>
      <c r="BC3" s="162"/>
      <c r="BD3" s="162"/>
    </row>
    <row r="4" spans="1:56" ht="16.5" customHeight="1" x14ac:dyDescent="0.25">
      <c r="A4" s="149">
        <v>2</v>
      </c>
      <c r="B4" s="149" t="s">
        <v>157</v>
      </c>
      <c r="C4" s="154" t="s">
        <v>570</v>
      </c>
      <c r="D4" s="154" t="s">
        <v>571</v>
      </c>
      <c r="E4" s="155" t="s">
        <v>572</v>
      </c>
      <c r="F4" s="155" t="s">
        <v>573</v>
      </c>
      <c r="G4" s="155" t="s">
        <v>574</v>
      </c>
      <c r="H4" s="158" t="s">
        <v>575</v>
      </c>
      <c r="I4" s="158" t="s">
        <v>576</v>
      </c>
      <c r="J4" s="163" t="s">
        <v>577</v>
      </c>
      <c r="K4" s="149"/>
      <c r="L4" s="149"/>
      <c r="M4" s="149"/>
      <c r="N4" s="149"/>
      <c r="O4" s="149"/>
      <c r="P4" s="149"/>
      <c r="Q4" s="149"/>
      <c r="R4" s="149"/>
      <c r="U4" s="129" t="str">
        <f>IFERROR(IF(VLOOKUP(T2,B3:R22,4,FALSE)=0,"",VLOOKUP(T2,B3:R22,4,FALSE)),"")</f>
        <v/>
      </c>
      <c r="W4" s="129" t="str">
        <f>IFERROR(IF(VLOOKUP(V2,B3:R22,4,FALSE)=0,"",VLOOKUP(V2,B3:R22,4,FALSE)),"")</f>
        <v/>
      </c>
      <c r="Y4" s="129" t="str">
        <f>IFERROR(IF(VLOOKUP(X2,B3:R22,4,FALSE)=0,"",VLOOKUP(X2,B3:R22,4,FALSE)),"")</f>
        <v/>
      </c>
      <c r="AA4" s="129" t="str">
        <f>IFERROR(IF(VLOOKUP(Z2,B3:R22,4,FALSE)=0,"",VLOOKUP(Z2,B3:R22,4,FALSE)),"")</f>
        <v/>
      </c>
      <c r="AC4" s="160" t="s">
        <v>157</v>
      </c>
      <c r="AD4" s="152" t="s">
        <v>578</v>
      </c>
      <c r="AE4" s="164" t="str">
        <f>IFERROR(VLOOKUP(#REF!,AC2:AD14,2,FALSE),"")</f>
        <v/>
      </c>
      <c r="AF4" s="165">
        <f>IFERROR(VLOOKUP(AE4,AC16:AD19,2,FALSE),0)</f>
        <v>0</v>
      </c>
      <c r="AH4" s="144" t="s">
        <v>162</v>
      </c>
      <c r="AI4" s="144">
        <f t="shared" si="0"/>
        <v>0</v>
      </c>
      <c r="AJ4" s="144" t="e">
        <f>IF(#REF!="",0,#REF!)</f>
        <v>#REF!</v>
      </c>
      <c r="AK4" s="144" t="e">
        <f>IF(#REF!="",0,#REF!)</f>
        <v>#REF!</v>
      </c>
      <c r="AL4" s="144" t="e">
        <f>IF(#REF!="",0,#REF!)</f>
        <v>#REF!</v>
      </c>
      <c r="AN4" s="145">
        <v>2</v>
      </c>
      <c r="AO4" s="146">
        <v>3</v>
      </c>
      <c r="AP4" s="146"/>
      <c r="AQ4" s="146"/>
      <c r="AR4" s="146"/>
      <c r="AS4" s="146"/>
      <c r="AT4" s="146"/>
      <c r="AU4" s="146"/>
      <c r="AV4" s="146"/>
      <c r="AW4" s="146"/>
      <c r="AX4" s="146">
        <v>6</v>
      </c>
      <c r="AY4" s="145">
        <v>2</v>
      </c>
      <c r="AZ4" s="146">
        <v>2</v>
      </c>
      <c r="BA4" s="146"/>
      <c r="BB4" s="146"/>
      <c r="BC4" s="146"/>
      <c r="BD4" s="146"/>
    </row>
    <row r="5" spans="1:56" ht="16.5" customHeight="1" x14ac:dyDescent="0.25">
      <c r="A5" s="149">
        <v>3</v>
      </c>
      <c r="B5" s="149" t="s">
        <v>162</v>
      </c>
      <c r="C5" s="154" t="s">
        <v>579</v>
      </c>
      <c r="D5" s="154" t="s">
        <v>580</v>
      </c>
      <c r="E5" s="154" t="s">
        <v>581</v>
      </c>
      <c r="F5" s="154" t="s">
        <v>582</v>
      </c>
      <c r="G5" s="154" t="s">
        <v>583</v>
      </c>
      <c r="H5" s="154" t="s">
        <v>584</v>
      </c>
      <c r="I5" s="154" t="s">
        <v>585</v>
      </c>
      <c r="J5" s="155" t="s">
        <v>586</v>
      </c>
      <c r="K5" s="155" t="s">
        <v>587</v>
      </c>
      <c r="L5" s="166" t="s">
        <v>588</v>
      </c>
      <c r="M5" s="157" t="s">
        <v>589</v>
      </c>
      <c r="N5" s="157" t="s">
        <v>590</v>
      </c>
      <c r="O5" s="158" t="s">
        <v>591</v>
      </c>
      <c r="P5" s="149"/>
      <c r="Q5" s="149"/>
      <c r="R5" s="149"/>
      <c r="U5" s="129" t="str">
        <f>IFERROR(IF(VLOOKUP(T2,B3:R22,5,FALSE)=0,"",VLOOKUP(T2,B3:R22,5,FALSE)),"")</f>
        <v/>
      </c>
      <c r="W5" s="129" t="str">
        <f>IFERROR(IF(VLOOKUP(V2,B3:R22,5,FALSE)=0,"",VLOOKUP(V2,B3:R22,5,FALSE)),"")</f>
        <v/>
      </c>
      <c r="Y5" s="129" t="str">
        <f>IFERROR(IF(VLOOKUP(X2,B3:R22,5,FALSE)=0,"",VLOOKUP(X2,B3:R22,5,FALSE)),"")</f>
        <v/>
      </c>
      <c r="AA5" s="129" t="str">
        <f>IFERROR(IF(VLOOKUP(Z2,B3:R22,5,FALSE)=0,"",VLOOKUP(Z2,B3:R22,5,FALSE)),"")</f>
        <v/>
      </c>
      <c r="AC5" s="160" t="s">
        <v>162</v>
      </c>
      <c r="AD5" s="152" t="s">
        <v>578</v>
      </c>
      <c r="AE5" s="11"/>
      <c r="AF5" s="11"/>
      <c r="AH5" s="144" t="s">
        <v>168</v>
      </c>
      <c r="AI5" s="144">
        <f t="shared" si="0"/>
        <v>0</v>
      </c>
      <c r="AJ5" s="144"/>
      <c r="AK5" s="144"/>
      <c r="AL5" s="144"/>
      <c r="AN5" s="161">
        <v>3</v>
      </c>
      <c r="AO5" s="162">
        <v>4</v>
      </c>
      <c r="AP5" s="162">
        <v>2</v>
      </c>
      <c r="AQ5" s="162"/>
      <c r="AR5" s="162"/>
      <c r="AS5" s="162"/>
      <c r="AT5" s="162"/>
      <c r="AU5" s="162"/>
      <c r="AV5" s="162"/>
      <c r="AW5" s="162"/>
      <c r="AX5" s="162">
        <v>14</v>
      </c>
      <c r="AY5" s="161">
        <v>3</v>
      </c>
      <c r="AZ5" s="162"/>
      <c r="BA5" s="162">
        <v>2</v>
      </c>
      <c r="BB5" s="162"/>
      <c r="BC5" s="162"/>
      <c r="BD5" s="162"/>
    </row>
    <row r="6" spans="1:56" ht="16.5" customHeight="1" x14ac:dyDescent="0.25">
      <c r="A6" s="149">
        <v>4</v>
      </c>
      <c r="B6" s="149" t="s">
        <v>168</v>
      </c>
      <c r="C6" s="154" t="s">
        <v>592</v>
      </c>
      <c r="D6" s="154" t="s">
        <v>593</v>
      </c>
      <c r="E6" s="155" t="s">
        <v>594</v>
      </c>
      <c r="F6" s="155" t="s">
        <v>595</v>
      </c>
      <c r="G6" s="167" t="s">
        <v>596</v>
      </c>
      <c r="H6" s="167" t="s">
        <v>597</v>
      </c>
      <c r="I6" s="167" t="s">
        <v>598</v>
      </c>
      <c r="J6" s="149"/>
      <c r="K6" s="149"/>
      <c r="L6" s="149"/>
      <c r="M6" s="149"/>
      <c r="N6" s="149"/>
      <c r="O6" s="149"/>
      <c r="P6" s="149"/>
      <c r="Q6" s="149"/>
      <c r="R6" s="149"/>
      <c r="U6" s="129" t="str">
        <f>IFERROR(IF(VLOOKUP(T2,B3:R22,6,FALSE)=0,"",VLOOKUP(T2,B3:R22,6,FALSE)),"")</f>
        <v/>
      </c>
      <c r="W6" s="129" t="str">
        <f>IFERROR(IF(VLOOKUP(V2,B3:R22,6,FALSE)=0,"",VLOOKUP(V2,B3:R22,6,FALSE)),"")</f>
        <v/>
      </c>
      <c r="Y6" s="129" t="str">
        <f>IFERROR(IF(VLOOKUP(X2,B3:R22,6,FALSE)=0,"",VLOOKUP(X2,B3:R22,6,FALSE)),"")</f>
        <v/>
      </c>
      <c r="AA6" s="129" t="str">
        <f>IFERROR(IF(VLOOKUP(Z2,B3:R22,6,FALSE)=0,"",VLOOKUP(Z2,B3:R22,6,FALSE)),"")</f>
        <v/>
      </c>
      <c r="AC6" s="160" t="s">
        <v>168</v>
      </c>
      <c r="AD6" s="152" t="s">
        <v>578</v>
      </c>
      <c r="AE6" s="168" t="s">
        <v>599</v>
      </c>
      <c r="AF6" s="168" t="e">
        <f>#REF!+#REF!+#REF!</f>
        <v>#REF!</v>
      </c>
      <c r="AH6" s="144" t="s">
        <v>63</v>
      </c>
      <c r="AI6" s="144">
        <f t="shared" si="0"/>
        <v>0</v>
      </c>
      <c r="AJ6" s="144"/>
      <c r="AK6" s="144" t="s">
        <v>600</v>
      </c>
      <c r="AL6" s="144" t="e">
        <f>IF(AK2="奥法骑士",AL2,IF(AK3="奥法骑士",AL3,IF(AK4="奥法骑士",AL4,0)))</f>
        <v>#REF!</v>
      </c>
      <c r="AN6" s="145">
        <v>4</v>
      </c>
      <c r="AO6" s="146">
        <v>4</v>
      </c>
      <c r="AP6" s="146">
        <v>3</v>
      </c>
      <c r="AQ6" s="146"/>
      <c r="AR6" s="146"/>
      <c r="AS6" s="146"/>
      <c r="AT6" s="146"/>
      <c r="AU6" s="146"/>
      <c r="AV6" s="146"/>
      <c r="AW6" s="146"/>
      <c r="AX6" s="146">
        <v>17</v>
      </c>
      <c r="AY6" s="145">
        <v>4</v>
      </c>
      <c r="AZ6" s="146"/>
      <c r="BA6" s="146">
        <v>2</v>
      </c>
      <c r="BB6" s="146"/>
      <c r="BC6" s="146"/>
      <c r="BD6" s="146"/>
    </row>
    <row r="7" spans="1:56" ht="16.5" customHeight="1" x14ac:dyDescent="0.25">
      <c r="A7" s="149">
        <v>5</v>
      </c>
      <c r="B7" s="149" t="s">
        <v>63</v>
      </c>
      <c r="C7" s="154" t="s">
        <v>601</v>
      </c>
      <c r="D7" s="154" t="s">
        <v>602</v>
      </c>
      <c r="E7" s="154" t="s">
        <v>600</v>
      </c>
      <c r="F7" s="155" t="s">
        <v>64</v>
      </c>
      <c r="G7" s="155" t="s">
        <v>603</v>
      </c>
      <c r="H7" s="155" t="s">
        <v>604</v>
      </c>
      <c r="I7" s="166" t="s">
        <v>605</v>
      </c>
      <c r="J7" s="169" t="s">
        <v>606</v>
      </c>
      <c r="K7" s="158" t="s">
        <v>607</v>
      </c>
      <c r="L7" s="158" t="s">
        <v>608</v>
      </c>
      <c r="M7" s="149"/>
      <c r="N7" s="149"/>
      <c r="O7" s="149"/>
      <c r="P7" s="149"/>
      <c r="Q7" s="149"/>
      <c r="R7" s="149"/>
      <c r="U7" s="129" t="str">
        <f>IFERROR(IF(VLOOKUP(T2,B3:R22,7,FALSE)=0,"",VLOOKUP(T2,B3:R22,7,FALSE)),"")</f>
        <v/>
      </c>
      <c r="W7" s="129" t="str">
        <f>IFERROR(IF(VLOOKUP(V2,B3:R22,7,FALSE)=0,"",VLOOKUP(V2,B3:R22,7,FALSE)),"")</f>
        <v/>
      </c>
      <c r="Y7" s="129" t="str">
        <f>IFERROR(IF(VLOOKUP(X2,B3:R22,7,FALSE)=0,"",VLOOKUP(X2,B3:R22,7,FALSE)),"")</f>
        <v/>
      </c>
      <c r="AA7" s="129" t="str">
        <f>IFERROR(IF(VLOOKUP(Z2,B3:R22,7,FALSE)=0,"",VLOOKUP(Z2,B3:R22,7,FALSE)),"")</f>
        <v/>
      </c>
      <c r="AC7" s="160" t="s">
        <v>609</v>
      </c>
      <c r="AD7" s="152" t="s">
        <v>578</v>
      </c>
      <c r="AE7" s="168" t="s">
        <v>610</v>
      </c>
      <c r="AF7" s="168">
        <f>IFERROR(VLOOKUP(AE2,AC21:AD24,2,FALSE),0)</f>
        <v>0</v>
      </c>
      <c r="AH7" s="144" t="s">
        <v>609</v>
      </c>
      <c r="AI7" s="144">
        <f t="shared" si="0"/>
        <v>0</v>
      </c>
      <c r="AJ7" s="144"/>
      <c r="AK7" s="144" t="s">
        <v>611</v>
      </c>
      <c r="AL7" s="144" t="e">
        <f>IF(AK2="诡术师",AL2,IF(AK3="诡术师",AL3,IF(AK4="诡术师",AL4,0)))</f>
        <v>#REF!</v>
      </c>
      <c r="AN7" s="161">
        <v>5</v>
      </c>
      <c r="AO7" s="162">
        <v>4</v>
      </c>
      <c r="AP7" s="162">
        <v>3</v>
      </c>
      <c r="AQ7" s="162">
        <v>2</v>
      </c>
      <c r="AR7" s="162"/>
      <c r="AS7" s="162"/>
      <c r="AT7" s="162"/>
      <c r="AU7" s="162"/>
      <c r="AV7" s="162"/>
      <c r="AW7" s="162"/>
      <c r="AX7" s="162">
        <v>27</v>
      </c>
      <c r="AY7" s="161">
        <v>5</v>
      </c>
      <c r="AZ7" s="162"/>
      <c r="BA7" s="162"/>
      <c r="BB7" s="162">
        <v>2</v>
      </c>
      <c r="BC7" s="162"/>
      <c r="BD7" s="162"/>
    </row>
    <row r="8" spans="1:56" ht="16.5" customHeight="1" x14ac:dyDescent="0.25">
      <c r="A8" s="149">
        <v>6</v>
      </c>
      <c r="B8" s="149" t="s">
        <v>609</v>
      </c>
      <c r="C8" s="154" t="s">
        <v>612</v>
      </c>
      <c r="D8" s="154" t="s">
        <v>613</v>
      </c>
      <c r="E8" s="154" t="s">
        <v>614</v>
      </c>
      <c r="F8" s="155" t="s">
        <v>615</v>
      </c>
      <c r="G8" s="155" t="s">
        <v>616</v>
      </c>
      <c r="H8" s="155" t="s">
        <v>617</v>
      </c>
      <c r="I8" s="166" t="s">
        <v>618</v>
      </c>
      <c r="J8" s="158" t="s">
        <v>619</v>
      </c>
      <c r="K8" s="158" t="s">
        <v>620</v>
      </c>
      <c r="L8" s="170" t="s">
        <v>621</v>
      </c>
      <c r="M8" s="149"/>
      <c r="N8" s="149"/>
      <c r="O8" s="149"/>
      <c r="P8" s="149"/>
      <c r="Q8" s="149"/>
      <c r="R8" s="149"/>
      <c r="U8" s="129" t="str">
        <f>IFERROR(IF(VLOOKUP(T2,B3:R22,8,FALSE)=0,"",VLOOKUP(T2,B3:R22,8,FALSE)),"")</f>
        <v/>
      </c>
      <c r="W8" s="129" t="str">
        <f>IFERROR(IF(VLOOKUP(V2,B3:R22,8,FALSE)=0,"",VLOOKUP(V2,B3:R22,8,FALSE)),"")</f>
        <v/>
      </c>
      <c r="Y8" s="129" t="str">
        <f>IFERROR(IF(VLOOKUP(X2,B3:R22,8,FALSE)=0,"",VLOOKUP(X2,B3:R22,8,FALSE)),"")</f>
        <v/>
      </c>
      <c r="AA8" s="129" t="str">
        <f>IFERROR(IF(VLOOKUP(Z2,B3:R22,8,FALSE)=0,"",VLOOKUP(Z2,B3:R22,8,FALSE)),"")</f>
        <v/>
      </c>
      <c r="AC8" s="160" t="s">
        <v>622</v>
      </c>
      <c r="AD8" s="152" t="s">
        <v>578</v>
      </c>
      <c r="AH8" s="144" t="s">
        <v>171</v>
      </c>
      <c r="AI8" s="144">
        <f t="shared" si="0"/>
        <v>0</v>
      </c>
      <c r="AJ8" s="144"/>
      <c r="AK8" s="144"/>
      <c r="AL8" s="144"/>
      <c r="AN8" s="145">
        <v>6</v>
      </c>
      <c r="AO8" s="146">
        <v>4</v>
      </c>
      <c r="AP8" s="146">
        <v>3</v>
      </c>
      <c r="AQ8" s="146">
        <v>3</v>
      </c>
      <c r="AR8" s="146"/>
      <c r="AS8" s="146"/>
      <c r="AT8" s="146"/>
      <c r="AU8" s="146"/>
      <c r="AV8" s="146"/>
      <c r="AW8" s="146"/>
      <c r="AX8" s="146">
        <v>32</v>
      </c>
      <c r="AY8" s="145">
        <v>6</v>
      </c>
      <c r="AZ8" s="146"/>
      <c r="BA8" s="146"/>
      <c r="BB8" s="146">
        <v>2</v>
      </c>
      <c r="BC8" s="146"/>
      <c r="BD8" s="146"/>
    </row>
    <row r="9" spans="1:56" ht="16.5" customHeight="1" x14ac:dyDescent="0.25">
      <c r="A9" s="149">
        <v>7</v>
      </c>
      <c r="B9" s="149" t="s">
        <v>171</v>
      </c>
      <c r="C9" s="154" t="s">
        <v>623</v>
      </c>
      <c r="D9" s="154" t="s">
        <v>624</v>
      </c>
      <c r="E9" s="154" t="s">
        <v>625</v>
      </c>
      <c r="F9" s="155" t="s">
        <v>626</v>
      </c>
      <c r="G9" s="155" t="s">
        <v>627</v>
      </c>
      <c r="H9" s="166" t="s">
        <v>628</v>
      </c>
      <c r="I9" s="158" t="s">
        <v>629</v>
      </c>
      <c r="J9" s="158" t="s">
        <v>630</v>
      </c>
      <c r="K9" s="149"/>
      <c r="L9" s="149"/>
      <c r="M9" s="149"/>
      <c r="N9" s="149"/>
      <c r="O9" s="149"/>
      <c r="P9" s="149"/>
      <c r="Q9" s="149"/>
      <c r="R9" s="149"/>
      <c r="U9" s="129" t="str">
        <f>IFERROR(IF(VLOOKUP(T2,B3:R22,9,FALSE)=0,"",VLOOKUP(T2,B3:R22,9,FALSE)),"")</f>
        <v/>
      </c>
      <c r="W9" s="129" t="str">
        <f>IFERROR(IF(VLOOKUP(V2,B3:R22,9,FALSE)=0,"",VLOOKUP(V2,B3:R22,9,FALSE)),"")</f>
        <v/>
      </c>
      <c r="Y9" s="129" t="str">
        <f>IFERROR(IF(VLOOKUP(X2,B3:R22,9,FALSE)=0,"",VLOOKUP(X2,B3:R22,9,FALSE)),"")</f>
        <v/>
      </c>
      <c r="AA9" s="129" t="str">
        <f>IFERROR(IF(VLOOKUP(Z2,B3:R22,9,FALSE)=0,"",VLOOKUP(Z2,B3:R22,9,FALSE)),"")</f>
        <v/>
      </c>
      <c r="AC9" s="160" t="s">
        <v>187</v>
      </c>
      <c r="AD9" s="152" t="s">
        <v>578</v>
      </c>
      <c r="AE9" s="144" t="s">
        <v>631</v>
      </c>
      <c r="AF9" s="144">
        <f>AI3+AI4+AI5+AI11+AI13</f>
        <v>0</v>
      </c>
      <c r="AH9" s="144" t="s">
        <v>176</v>
      </c>
      <c r="AI9" s="144">
        <f t="shared" si="0"/>
        <v>0</v>
      </c>
      <c r="AJ9" s="144"/>
      <c r="AK9" s="144"/>
      <c r="AL9" s="144"/>
      <c r="AN9" s="161">
        <v>7</v>
      </c>
      <c r="AO9" s="162">
        <v>4</v>
      </c>
      <c r="AP9" s="162">
        <v>3</v>
      </c>
      <c r="AQ9" s="162">
        <v>3</v>
      </c>
      <c r="AR9" s="162">
        <v>1</v>
      </c>
      <c r="AS9" s="162"/>
      <c r="AT9" s="162"/>
      <c r="AU9" s="162"/>
      <c r="AV9" s="162"/>
      <c r="AW9" s="162"/>
      <c r="AX9" s="162">
        <v>38</v>
      </c>
      <c r="AY9" s="161">
        <v>7</v>
      </c>
      <c r="AZ9" s="162"/>
      <c r="BA9" s="162"/>
      <c r="BB9" s="162"/>
      <c r="BC9" s="162">
        <v>2</v>
      </c>
      <c r="BD9" s="162"/>
    </row>
    <row r="10" spans="1:56" ht="16.5" customHeight="1" x14ac:dyDescent="0.25">
      <c r="A10" s="149">
        <v>8</v>
      </c>
      <c r="B10" s="149" t="s">
        <v>176</v>
      </c>
      <c r="C10" s="154" t="s">
        <v>632</v>
      </c>
      <c r="D10" s="154" t="s">
        <v>633</v>
      </c>
      <c r="E10" s="155" t="s">
        <v>634</v>
      </c>
      <c r="F10" s="155" t="s">
        <v>635</v>
      </c>
      <c r="G10" s="155" t="s">
        <v>636</v>
      </c>
      <c r="H10" s="158" t="s">
        <v>637</v>
      </c>
      <c r="I10" s="158" t="s">
        <v>638</v>
      </c>
      <c r="J10" s="171" t="s">
        <v>639</v>
      </c>
      <c r="K10" s="149"/>
      <c r="L10" s="149"/>
      <c r="M10" s="149"/>
      <c r="N10" s="149"/>
      <c r="O10" s="149"/>
      <c r="P10" s="149"/>
      <c r="Q10" s="149"/>
      <c r="R10" s="149"/>
      <c r="U10" s="129" t="str">
        <f>IFERROR(IF(VLOOKUP(T2,B3:R22,10,FALSE)=0,"",VLOOKUP(T2,B3:R22,10,FALSE)),"")</f>
        <v/>
      </c>
      <c r="W10" s="129" t="str">
        <f>IFERROR(IF(VLOOKUP(V2,B3:R22,10,FALSE)=0,"",VLOOKUP(V2,B3:R22,10,FALSE)),"")</f>
        <v/>
      </c>
      <c r="Y10" s="129" t="str">
        <f>IFERROR(IF(VLOOKUP(X2,B3:R22,10,FALSE)=0,"",VLOOKUP(X2,B3:R22,10,FALSE)),"")</f>
        <v/>
      </c>
      <c r="AA10" s="129" t="str">
        <f>IFERROR(IF(VLOOKUP(Z2,B3:R22,10,FALSE)=0,"",VLOOKUP(Z2,B3:R22,10,FALSE)),"")</f>
        <v/>
      </c>
      <c r="AC10" s="160" t="s">
        <v>207</v>
      </c>
      <c r="AD10" s="152" t="s">
        <v>578</v>
      </c>
      <c r="AE10" s="144" t="s">
        <v>640</v>
      </c>
      <c r="AF10" s="144">
        <f>ROUNDDOWN((AI8+AI9)/2,0)</f>
        <v>0</v>
      </c>
      <c r="AH10" s="144" t="s">
        <v>622</v>
      </c>
      <c r="AI10" s="144">
        <f t="shared" si="0"/>
        <v>0</v>
      </c>
      <c r="AJ10" s="144"/>
      <c r="AK10" s="144"/>
      <c r="AL10" s="144"/>
      <c r="AN10" s="145">
        <v>8</v>
      </c>
      <c r="AO10" s="146">
        <v>4</v>
      </c>
      <c r="AP10" s="146">
        <v>3</v>
      </c>
      <c r="AQ10" s="146">
        <v>3</v>
      </c>
      <c r="AR10" s="146">
        <v>2</v>
      </c>
      <c r="AS10" s="146"/>
      <c r="AT10" s="146"/>
      <c r="AU10" s="146"/>
      <c r="AV10" s="146"/>
      <c r="AW10" s="146"/>
      <c r="AX10" s="146">
        <v>44</v>
      </c>
      <c r="AY10" s="145">
        <v>8</v>
      </c>
      <c r="AZ10" s="146"/>
      <c r="BA10" s="146"/>
      <c r="BB10" s="146"/>
      <c r="BC10" s="146">
        <v>2</v>
      </c>
      <c r="BD10" s="146"/>
    </row>
    <row r="11" spans="1:56" ht="16.5" customHeight="1" x14ac:dyDescent="0.25">
      <c r="A11" s="149">
        <v>9</v>
      </c>
      <c r="B11" s="149" t="s">
        <v>622</v>
      </c>
      <c r="C11" s="154" t="s">
        <v>641</v>
      </c>
      <c r="D11" s="154" t="s">
        <v>642</v>
      </c>
      <c r="E11" s="154" t="s">
        <v>611</v>
      </c>
      <c r="F11" s="155" t="s">
        <v>643</v>
      </c>
      <c r="G11" s="155" t="s">
        <v>644</v>
      </c>
      <c r="H11" s="155" t="s">
        <v>645</v>
      </c>
      <c r="I11" s="155" t="s">
        <v>646</v>
      </c>
      <c r="J11" s="158" t="s">
        <v>647</v>
      </c>
      <c r="K11" s="158" t="s">
        <v>648</v>
      </c>
      <c r="L11" s="149"/>
      <c r="M11" s="149"/>
      <c r="N11" s="149"/>
      <c r="O11" s="149"/>
      <c r="P11" s="149"/>
      <c r="Q11" s="149"/>
      <c r="R11" s="149"/>
      <c r="U11" s="129" t="str">
        <f>IFERROR(IF(VLOOKUP(T2,B3:R22,11,FALSE)=0,"",VLOOKUP(T2,B3:R22,11,FALSE)),"")</f>
        <v/>
      </c>
      <c r="W11" s="129" t="str">
        <f>IFERROR(IF(VLOOKUP(V2,B3:R22,11,FALSE)=0,"",VLOOKUP(V2,B3:R22,11,FALSE)),"")</f>
        <v/>
      </c>
      <c r="Y11" s="129" t="str">
        <f>IFERROR(IF(VLOOKUP(X2,B3:R22,11,FALSE)=0,"",VLOOKUP(X2,B3:R22,11,FALSE)),"")</f>
        <v/>
      </c>
      <c r="AA11" s="129" t="str">
        <f>IFERROR(IF(VLOOKUP(Z2,B3:R22,11,FALSE)=0,"",VLOOKUP(Z2,B3:R22,11,FALSE)),"")</f>
        <v/>
      </c>
      <c r="AC11" s="160" t="s">
        <v>63</v>
      </c>
      <c r="AD11" s="152" t="s">
        <v>649</v>
      </c>
      <c r="AE11" s="144" t="s">
        <v>650</v>
      </c>
      <c r="AF11" s="144" t="e">
        <f>IF(AF9=0,ROUNDUP((AL6+AL7)/3,0),ROUNDDOWN((AL6+AL7)/3,0))</f>
        <v>#REF!</v>
      </c>
      <c r="AH11" s="144" t="s">
        <v>181</v>
      </c>
      <c r="AI11" s="144">
        <f t="shared" si="0"/>
        <v>0</v>
      </c>
      <c r="AJ11" s="144"/>
      <c r="AK11" s="144"/>
      <c r="AL11" s="144"/>
      <c r="AN11" s="161">
        <v>9</v>
      </c>
      <c r="AO11" s="162">
        <v>4</v>
      </c>
      <c r="AP11" s="162">
        <v>3</v>
      </c>
      <c r="AQ11" s="162">
        <v>3</v>
      </c>
      <c r="AR11" s="162">
        <v>3</v>
      </c>
      <c r="AS11" s="162">
        <v>1</v>
      </c>
      <c r="AT11" s="162"/>
      <c r="AU11" s="162"/>
      <c r="AV11" s="162"/>
      <c r="AW11" s="162"/>
      <c r="AX11" s="162">
        <v>57</v>
      </c>
      <c r="AY11" s="161">
        <v>9</v>
      </c>
      <c r="AZ11" s="162"/>
      <c r="BA11" s="162"/>
      <c r="BB11" s="162"/>
      <c r="BC11" s="162"/>
      <c r="BD11" s="162">
        <v>3</v>
      </c>
    </row>
    <row r="12" spans="1:56" ht="16.5" customHeight="1" x14ac:dyDescent="0.25">
      <c r="A12" s="149">
        <v>10</v>
      </c>
      <c r="B12" s="149" t="s">
        <v>181</v>
      </c>
      <c r="C12" s="154" t="s">
        <v>651</v>
      </c>
      <c r="D12" s="154" t="s">
        <v>652</v>
      </c>
      <c r="E12" s="155" t="s">
        <v>653</v>
      </c>
      <c r="F12" s="155" t="s">
        <v>654</v>
      </c>
      <c r="G12" s="155" t="s">
        <v>655</v>
      </c>
      <c r="H12" s="158" t="s">
        <v>656</v>
      </c>
      <c r="I12" s="158" t="s">
        <v>657</v>
      </c>
      <c r="J12" s="149" t="s">
        <v>658</v>
      </c>
      <c r="K12" s="149"/>
      <c r="L12" s="149"/>
      <c r="M12" s="149"/>
      <c r="N12" s="149"/>
      <c r="O12" s="149"/>
      <c r="P12" s="149"/>
      <c r="Q12" s="149"/>
      <c r="R12" s="149"/>
      <c r="U12" s="129" t="str">
        <f>IFERROR(IF(VLOOKUP(T2,B3:R22,12,FALSE)=0,"",VLOOKUP(T2,B3:R22,12,FALSE)),"")</f>
        <v/>
      </c>
      <c r="W12" s="129" t="str">
        <f>IFERROR(IF(VLOOKUP(V2,B3:R22,12,FALSE)=0,"",VLOOKUP(V2,B3:R22,12,FALSE)),"")</f>
        <v/>
      </c>
      <c r="Y12" s="129" t="str">
        <f>IFERROR(IF(VLOOKUP(X2,B3:R22,12,FALSE)=0,"",VLOOKUP(X2,B3:R22,12,FALSE)),"")</f>
        <v/>
      </c>
      <c r="AA12" s="129" t="str">
        <f>IFERROR(IF(VLOOKUP(Z2,B3:R22,12,FALSE)=0,"",VLOOKUP(Z2,B3:R22,12,FALSE)),"")</f>
        <v/>
      </c>
      <c r="AC12" s="160" t="s">
        <v>171</v>
      </c>
      <c r="AD12" s="152" t="s">
        <v>649</v>
      </c>
      <c r="AE12" s="144"/>
      <c r="AF12" s="144"/>
      <c r="AH12" s="144" t="s">
        <v>187</v>
      </c>
      <c r="AI12" s="144">
        <f t="shared" si="0"/>
        <v>0</v>
      </c>
      <c r="AJ12" s="144"/>
      <c r="AK12" s="144"/>
      <c r="AL12" s="144"/>
      <c r="AN12" s="145">
        <v>10</v>
      </c>
      <c r="AO12" s="146">
        <v>4</v>
      </c>
      <c r="AP12" s="146">
        <v>3</v>
      </c>
      <c r="AQ12" s="146">
        <v>3</v>
      </c>
      <c r="AR12" s="146">
        <v>3</v>
      </c>
      <c r="AS12" s="146">
        <v>2</v>
      </c>
      <c r="AT12" s="146"/>
      <c r="AU12" s="146"/>
      <c r="AV12" s="146"/>
      <c r="AW12" s="146"/>
      <c r="AX12" s="146">
        <v>64</v>
      </c>
      <c r="AY12" s="145">
        <v>10</v>
      </c>
      <c r="AZ12" s="146"/>
      <c r="BA12" s="146"/>
      <c r="BB12" s="146"/>
      <c r="BC12" s="146"/>
      <c r="BD12" s="146">
        <v>3</v>
      </c>
    </row>
    <row r="13" spans="1:56" ht="16.5" customHeight="1" x14ac:dyDescent="0.25">
      <c r="A13" s="149">
        <v>11</v>
      </c>
      <c r="B13" s="149" t="s">
        <v>187</v>
      </c>
      <c r="C13" s="154" t="s">
        <v>659</v>
      </c>
      <c r="D13" s="154" t="s">
        <v>660</v>
      </c>
      <c r="E13" s="154" t="s">
        <v>661</v>
      </c>
      <c r="F13" s="155" t="s">
        <v>662</v>
      </c>
      <c r="G13" s="155" t="s">
        <v>663</v>
      </c>
      <c r="H13" s="166" t="s">
        <v>664</v>
      </c>
      <c r="I13" s="158" t="s">
        <v>665</v>
      </c>
      <c r="J13" s="158" t="s">
        <v>666</v>
      </c>
      <c r="K13" s="172" t="s">
        <v>667</v>
      </c>
      <c r="L13" s="149"/>
      <c r="M13" s="149"/>
      <c r="N13" s="149"/>
      <c r="O13" s="149"/>
      <c r="P13" s="149"/>
      <c r="Q13" s="149"/>
      <c r="R13" s="149"/>
      <c r="U13" s="129" t="str">
        <f>IFERROR(IF(VLOOKUP(T2,B3:R22,13,FALSE)=0,"",VLOOKUP(T2,B3:R22,13,FALSE)),"")</f>
        <v/>
      </c>
      <c r="W13" s="129" t="str">
        <f>IFERROR(IF(VLOOKUP(V2,B3:R22,13,FALSE)=0,"",VLOOKUP(V2,B3:R22,13,FALSE)),"")</f>
        <v/>
      </c>
      <c r="Y13" s="129" t="str">
        <f>IFERROR(IF(VLOOKUP(X2,B3:R22,13,FALSE)=0,"",VLOOKUP(X2,B3:R22,13,FALSE)),"")</f>
        <v/>
      </c>
      <c r="AA13" s="129" t="str">
        <f>IFERROR(IF(VLOOKUP(Z2,B3:R22,13,FALSE)=0,"",VLOOKUP(Z2,B3:R22,13,FALSE)),"")</f>
        <v/>
      </c>
      <c r="AC13" s="160" t="s">
        <v>176</v>
      </c>
      <c r="AD13" s="152" t="s">
        <v>649</v>
      </c>
      <c r="AE13" s="144"/>
      <c r="AF13" s="144"/>
      <c r="AH13" s="144" t="s">
        <v>193</v>
      </c>
      <c r="AI13" s="144">
        <f t="shared" si="0"/>
        <v>0</v>
      </c>
      <c r="AJ13" s="144"/>
      <c r="AK13" s="144"/>
      <c r="AL13" s="144"/>
      <c r="AN13" s="161">
        <v>11</v>
      </c>
      <c r="AO13" s="162">
        <v>4</v>
      </c>
      <c r="AP13" s="162">
        <v>3</v>
      </c>
      <c r="AQ13" s="162">
        <v>3</v>
      </c>
      <c r="AR13" s="162">
        <v>3</v>
      </c>
      <c r="AS13" s="162">
        <v>2</v>
      </c>
      <c r="AT13" s="162">
        <v>1</v>
      </c>
      <c r="AU13" s="162"/>
      <c r="AV13" s="162"/>
      <c r="AW13" s="162"/>
      <c r="AX13" s="162">
        <v>73</v>
      </c>
      <c r="AY13" s="161">
        <v>11</v>
      </c>
      <c r="AZ13" s="162"/>
      <c r="BA13" s="162"/>
      <c r="BB13" s="162"/>
      <c r="BC13" s="162"/>
      <c r="BD13" s="162">
        <v>3</v>
      </c>
    </row>
    <row r="14" spans="1:56" ht="16.5" customHeight="1" x14ac:dyDescent="0.25">
      <c r="A14" s="149">
        <v>12</v>
      </c>
      <c r="B14" s="149" t="s">
        <v>193</v>
      </c>
      <c r="C14" s="154" t="s">
        <v>668</v>
      </c>
      <c r="D14" s="154" t="s">
        <v>669</v>
      </c>
      <c r="E14" s="154" t="s">
        <v>670</v>
      </c>
      <c r="F14" s="154" t="s">
        <v>671</v>
      </c>
      <c r="G14" s="154" t="s">
        <v>672</v>
      </c>
      <c r="H14" s="154" t="s">
        <v>673</v>
      </c>
      <c r="I14" s="154" t="s">
        <v>674</v>
      </c>
      <c r="J14" s="154" t="s">
        <v>675</v>
      </c>
      <c r="K14" s="155" t="s">
        <v>676</v>
      </c>
      <c r="L14" s="158" t="s">
        <v>677</v>
      </c>
      <c r="M14" s="169" t="s">
        <v>678</v>
      </c>
      <c r="N14" s="169" t="s">
        <v>679</v>
      </c>
      <c r="O14" s="158" t="s">
        <v>680</v>
      </c>
      <c r="P14" s="149"/>
      <c r="Q14" s="149"/>
      <c r="R14" s="149"/>
      <c r="U14" s="129" t="str">
        <f>IFERROR(IF(VLOOKUP(T2,B3:R22,14,FALSE)=0,"",VLOOKUP(T2,B3:R22,14,FALSE)),"")</f>
        <v/>
      </c>
      <c r="W14" s="129" t="str">
        <f>IFERROR(IF(VLOOKUP(V2,B3:R22,14,FALSE)=0,"",VLOOKUP(V2,B3:R22,14,FALSE)),"")</f>
        <v/>
      </c>
      <c r="Y14" s="129" t="str">
        <f>IFERROR(IF(VLOOKUP(X2,B3:R22,14,FALSE)=0,"",VLOOKUP(X2,B3:R22,14,FALSE)),"")</f>
        <v/>
      </c>
      <c r="AA14" s="129" t="str">
        <f>IFERROR(IF(VLOOKUP(Z2,B3:R22,14,FALSE)=0,"",VLOOKUP(Z2,B3:R22,14,FALSE)),"")</f>
        <v/>
      </c>
      <c r="AC14" s="173" t="s">
        <v>560</v>
      </c>
      <c r="AD14" s="165" t="s">
        <v>681</v>
      </c>
      <c r="AE14" s="174" t="s">
        <v>682</v>
      </c>
      <c r="AF14" s="175" t="e">
        <f>AF9+AF10+AF11</f>
        <v>#REF!</v>
      </c>
      <c r="AH14" s="144" t="s">
        <v>207</v>
      </c>
      <c r="AI14" s="144">
        <f t="shared" si="0"/>
        <v>0</v>
      </c>
      <c r="AJ14" s="144"/>
      <c r="AK14" s="144"/>
      <c r="AL14" s="144"/>
      <c r="AN14" s="145">
        <v>12</v>
      </c>
      <c r="AO14" s="146">
        <v>4</v>
      </c>
      <c r="AP14" s="146">
        <v>3</v>
      </c>
      <c r="AQ14" s="146">
        <v>3</v>
      </c>
      <c r="AR14" s="146">
        <v>3</v>
      </c>
      <c r="AS14" s="146">
        <v>2</v>
      </c>
      <c r="AT14" s="146">
        <v>1</v>
      </c>
      <c r="AU14" s="146"/>
      <c r="AV14" s="146"/>
      <c r="AW14" s="146"/>
      <c r="AX14" s="146">
        <v>73</v>
      </c>
      <c r="AY14" s="145">
        <v>12</v>
      </c>
      <c r="AZ14" s="146"/>
      <c r="BA14" s="146"/>
      <c r="BB14" s="146"/>
      <c r="BC14" s="146"/>
      <c r="BD14" s="146">
        <v>3</v>
      </c>
    </row>
    <row r="15" spans="1:56" ht="16.5" customHeight="1" x14ac:dyDescent="0.25">
      <c r="A15" s="149">
        <v>13</v>
      </c>
      <c r="B15" s="149" t="s">
        <v>207</v>
      </c>
      <c r="C15" s="158" t="s">
        <v>683</v>
      </c>
      <c r="D15" s="158" t="s">
        <v>684</v>
      </c>
      <c r="E15" s="158" t="s">
        <v>685</v>
      </c>
      <c r="F15" s="158" t="s">
        <v>686</v>
      </c>
      <c r="G15" s="149"/>
      <c r="H15" s="149"/>
      <c r="I15" s="149"/>
      <c r="J15" s="149"/>
      <c r="K15" s="149"/>
      <c r="L15" s="149"/>
      <c r="M15" s="149"/>
      <c r="N15" s="149"/>
      <c r="O15" s="149"/>
      <c r="P15" s="149"/>
      <c r="Q15" s="149"/>
      <c r="R15" s="149"/>
      <c r="U15" s="129" t="str">
        <f>IFERROR(IF(VLOOKUP(T2,B3:R22,15,FALSE)=0,"",VLOOKUP(T2,B3:R22,15,FALSE)),"")</f>
        <v/>
      </c>
      <c r="W15" s="129" t="str">
        <f>IFERROR(IF(VLOOKUP(V2,B3:R22,15,FALSE)=0,"",VLOOKUP(V2,B3:R22,15,FALSE)),"")</f>
        <v/>
      </c>
      <c r="Y15" s="129" t="str">
        <f>IFERROR(IF(VLOOKUP(X2,B3:R22,15,FALSE)=0,"",VLOOKUP(X2,B3:R22,15,FALSE)),"")</f>
        <v/>
      </c>
      <c r="AA15" s="129" t="str">
        <f>IFERROR(IF(VLOOKUP(Z2,B3:R22,15,FALSE)=0,"",VLOOKUP(Z2,B3:R22,15,FALSE)),"")</f>
        <v/>
      </c>
      <c r="AC15" s="275" t="s">
        <v>545</v>
      </c>
      <c r="AD15" s="276"/>
      <c r="AE15" s="144" t="s">
        <v>158</v>
      </c>
      <c r="AF15" s="176" t="str">
        <f>IFERROR(VLOOKUP($AF$14,$AN$2:$AW$22,2,FALSE),"")</f>
        <v/>
      </c>
      <c r="AN15" s="161">
        <v>13</v>
      </c>
      <c r="AO15" s="162">
        <v>4</v>
      </c>
      <c r="AP15" s="162">
        <v>3</v>
      </c>
      <c r="AQ15" s="162">
        <v>3</v>
      </c>
      <c r="AR15" s="162">
        <v>3</v>
      </c>
      <c r="AS15" s="162">
        <v>2</v>
      </c>
      <c r="AT15" s="162">
        <v>1</v>
      </c>
      <c r="AU15" s="162">
        <v>1</v>
      </c>
      <c r="AV15" s="162"/>
      <c r="AW15" s="162"/>
      <c r="AX15" s="162">
        <v>83</v>
      </c>
      <c r="AY15" s="161">
        <v>13</v>
      </c>
      <c r="AZ15" s="162"/>
      <c r="BA15" s="162"/>
      <c r="BB15" s="162"/>
      <c r="BC15" s="162"/>
      <c r="BD15" s="162">
        <v>3</v>
      </c>
    </row>
    <row r="16" spans="1:56" ht="16.5" customHeight="1" x14ac:dyDescent="0.25">
      <c r="A16" s="149">
        <v>14</v>
      </c>
      <c r="B16" s="149"/>
      <c r="C16" s="149"/>
      <c r="D16" s="149"/>
      <c r="E16" s="149"/>
      <c r="F16" s="149"/>
      <c r="G16" s="149"/>
      <c r="H16" s="149"/>
      <c r="I16" s="149"/>
      <c r="J16" s="149"/>
      <c r="K16" s="149"/>
      <c r="L16" s="149"/>
      <c r="M16" s="149"/>
      <c r="N16" s="149"/>
      <c r="O16" s="149"/>
      <c r="P16" s="149"/>
      <c r="Q16" s="149"/>
      <c r="R16" s="149"/>
      <c r="U16" s="129" t="str">
        <f>IFERROR(IF(VLOOKUP(T2,B3:R22,16,FALSE)=0,"",VLOOKUP(T2,B3:R22,16,FALSE)),"")</f>
        <v/>
      </c>
      <c r="W16" s="129" t="str">
        <f>IFERROR(IF(VLOOKUP(V2,B3:R22,16,FALSE)=0,"",VLOOKUP(V2,B3:R22,16,FALSE)),"")</f>
        <v/>
      </c>
      <c r="Y16" s="129" t="str">
        <f>IFERROR(IF(VLOOKUP(X2,B3:R22,16,FALSE)=0,"",VLOOKUP(X2,B3:R22,16,FALSE)),"")</f>
        <v/>
      </c>
      <c r="AA16" s="129" t="str">
        <f>IFERROR(IF(VLOOKUP(Z2,B3:R22,16,FALSE)=0,"",VLOOKUP(Z2,B3:R22,16,FALSE)),"")</f>
        <v/>
      </c>
      <c r="AC16" s="160" t="s">
        <v>559</v>
      </c>
      <c r="AD16" s="152">
        <v>4</v>
      </c>
      <c r="AE16" s="144" t="s">
        <v>163</v>
      </c>
      <c r="AF16" s="176" t="str">
        <f>IFERROR(VLOOKUP($AF$14,$AN$2:$AW$22,3,FALSE),"")</f>
        <v/>
      </c>
      <c r="AG16" s="144"/>
      <c r="AH16" s="144"/>
      <c r="AI16" s="177" t="s">
        <v>158</v>
      </c>
      <c r="AJ16" s="178" t="e">
        <f>IF(AF15+AH20=0,"",AF15+AH20)</f>
        <v>#VALUE!</v>
      </c>
      <c r="AN16" s="145">
        <v>14</v>
      </c>
      <c r="AO16" s="146">
        <v>4</v>
      </c>
      <c r="AP16" s="146">
        <v>3</v>
      </c>
      <c r="AQ16" s="146">
        <v>3</v>
      </c>
      <c r="AR16" s="146">
        <v>3</v>
      </c>
      <c r="AS16" s="146">
        <v>2</v>
      </c>
      <c r="AT16" s="146">
        <v>1</v>
      </c>
      <c r="AU16" s="146">
        <v>1</v>
      </c>
      <c r="AV16" s="146"/>
      <c r="AW16" s="146"/>
      <c r="AX16" s="146">
        <v>83</v>
      </c>
      <c r="AY16" s="145">
        <v>14</v>
      </c>
      <c r="AZ16" s="146"/>
      <c r="BA16" s="146"/>
      <c r="BB16" s="146"/>
      <c r="BC16" s="146"/>
      <c r="BD16" s="146">
        <v>3</v>
      </c>
    </row>
    <row r="17" spans="1:56" ht="16.5" customHeight="1" x14ac:dyDescent="0.25">
      <c r="A17" s="149">
        <v>15</v>
      </c>
      <c r="B17" s="149"/>
      <c r="C17" s="149"/>
      <c r="D17" s="149"/>
      <c r="E17" s="149"/>
      <c r="F17" s="149"/>
      <c r="G17" s="149"/>
      <c r="H17" s="149"/>
      <c r="I17" s="149"/>
      <c r="J17" s="149"/>
      <c r="K17" s="149"/>
      <c r="L17" s="149"/>
      <c r="M17" s="149"/>
      <c r="N17" s="149"/>
      <c r="O17" s="149"/>
      <c r="P17" s="149"/>
      <c r="Q17" s="149"/>
      <c r="R17" s="149"/>
      <c r="U17" s="129" t="str">
        <f>IFERROR(IF(VLOOKUP(T2,B3:R22,17,FALSE)=0,"",VLOOKUP(T2,B3:R22,17,FALSE)),"")</f>
        <v/>
      </c>
      <c r="W17" s="129" t="str">
        <f>IFERROR(IF(VLOOKUP(V2,B3:R22,17,FALSE)=0,"",VLOOKUP(V2,B3:R22,17,FALSE)),"")</f>
        <v/>
      </c>
      <c r="Y17" s="129" t="str">
        <f>IFERROR(IF(VLOOKUP(X2,B3:R22,17,FALSE)=0,"",VLOOKUP(X2,B3:R22,17,FALSE)),"")</f>
        <v/>
      </c>
      <c r="AA17" s="129" t="str">
        <f>IFERROR(IF(VLOOKUP(Z2,B3:R22,17,FALSE)=0,"",VLOOKUP(Z2,B3:R22,17,FALSE)),"")</f>
        <v/>
      </c>
      <c r="AC17" s="160" t="s">
        <v>578</v>
      </c>
      <c r="AD17" s="152">
        <v>5</v>
      </c>
      <c r="AE17" s="144" t="s">
        <v>169</v>
      </c>
      <c r="AF17" s="176" t="str">
        <f>IFERROR(VLOOKUP($AF$14,$AN$2:$AW$22,4,FALSE),"")</f>
        <v/>
      </c>
      <c r="AG17" s="144"/>
      <c r="AH17" s="144"/>
      <c r="AI17" s="179" t="s">
        <v>163</v>
      </c>
      <c r="AJ17" s="176" t="e">
        <f>IF(AF16+AH21=0,"",AF16+AH21)</f>
        <v>#VALUE!</v>
      </c>
      <c r="AN17" s="161">
        <v>15</v>
      </c>
      <c r="AO17" s="162">
        <v>4</v>
      </c>
      <c r="AP17" s="162">
        <v>3</v>
      </c>
      <c r="AQ17" s="162">
        <v>3</v>
      </c>
      <c r="AR17" s="162">
        <v>3</v>
      </c>
      <c r="AS17" s="162">
        <v>2</v>
      </c>
      <c r="AT17" s="162">
        <v>1</v>
      </c>
      <c r="AU17" s="162">
        <v>1</v>
      </c>
      <c r="AV17" s="162">
        <v>1</v>
      </c>
      <c r="AW17" s="162"/>
      <c r="AX17" s="162">
        <v>94</v>
      </c>
      <c r="AY17" s="161">
        <v>15</v>
      </c>
      <c r="AZ17" s="162"/>
      <c r="BA17" s="162"/>
      <c r="BB17" s="162"/>
      <c r="BC17" s="162"/>
      <c r="BD17" s="162">
        <v>3</v>
      </c>
    </row>
    <row r="18" spans="1:56" ht="16.5" customHeight="1" x14ac:dyDescent="0.25">
      <c r="A18" s="149">
        <v>16</v>
      </c>
      <c r="B18" s="149"/>
      <c r="C18" s="149"/>
      <c r="D18" s="149"/>
      <c r="E18" s="149"/>
      <c r="F18" s="149"/>
      <c r="G18" s="149"/>
      <c r="H18" s="149"/>
      <c r="I18" s="149"/>
      <c r="J18" s="149"/>
      <c r="K18" s="149"/>
      <c r="L18" s="149"/>
      <c r="M18" s="149"/>
      <c r="N18" s="149"/>
      <c r="O18" s="149"/>
      <c r="P18" s="149"/>
      <c r="Q18" s="149"/>
      <c r="R18" s="149"/>
      <c r="AC18" s="160" t="s">
        <v>649</v>
      </c>
      <c r="AD18" s="152">
        <v>6</v>
      </c>
      <c r="AE18" s="144" t="s">
        <v>173</v>
      </c>
      <c r="AF18" s="176" t="str">
        <f>IFERROR(VLOOKUP($AF$14,$AN$2:$AW$22,5,FALSE),"")</f>
        <v/>
      </c>
      <c r="AG18" s="144"/>
      <c r="AH18" s="144"/>
      <c r="AI18" s="179" t="s">
        <v>169</v>
      </c>
      <c r="AJ18" s="176" t="e">
        <f>IF(AF17+AH22=0,"",AF17+AH22)</f>
        <v>#VALUE!</v>
      </c>
      <c r="AN18" s="145">
        <v>16</v>
      </c>
      <c r="AO18" s="146">
        <v>4</v>
      </c>
      <c r="AP18" s="146">
        <v>3</v>
      </c>
      <c r="AQ18" s="146">
        <v>3</v>
      </c>
      <c r="AR18" s="146">
        <v>3</v>
      </c>
      <c r="AS18" s="146">
        <v>2</v>
      </c>
      <c r="AT18" s="146">
        <v>1</v>
      </c>
      <c r="AU18" s="146">
        <v>1</v>
      </c>
      <c r="AV18" s="146">
        <v>1</v>
      </c>
      <c r="AW18" s="146"/>
      <c r="AX18" s="146">
        <v>94</v>
      </c>
      <c r="AY18" s="145">
        <v>16</v>
      </c>
      <c r="AZ18" s="146"/>
      <c r="BA18" s="146"/>
      <c r="BB18" s="146"/>
      <c r="BC18" s="146"/>
      <c r="BD18" s="146">
        <v>3</v>
      </c>
    </row>
    <row r="19" spans="1:56" ht="16.5" customHeight="1" x14ac:dyDescent="0.25">
      <c r="A19" s="149">
        <v>17</v>
      </c>
      <c r="B19" s="149"/>
      <c r="C19" s="149"/>
      <c r="D19" s="149"/>
      <c r="E19" s="149"/>
      <c r="F19" s="149"/>
      <c r="G19" s="149"/>
      <c r="H19" s="149"/>
      <c r="I19" s="149"/>
      <c r="J19" s="149"/>
      <c r="K19" s="149"/>
      <c r="L19" s="149"/>
      <c r="M19" s="149"/>
      <c r="N19" s="149"/>
      <c r="O19" s="149"/>
      <c r="P19" s="149"/>
      <c r="Q19" s="149"/>
      <c r="R19" s="149"/>
      <c r="AC19" s="173" t="s">
        <v>681</v>
      </c>
      <c r="AD19" s="165">
        <v>7</v>
      </c>
      <c r="AE19" s="144" t="s">
        <v>178</v>
      </c>
      <c r="AF19" s="176" t="str">
        <f>IFERROR(VLOOKUP($AF$14,$AN$2:$AW$22,6,FALSE),"")</f>
        <v/>
      </c>
      <c r="AG19" s="180" t="s">
        <v>187</v>
      </c>
      <c r="AH19" s="180"/>
      <c r="AI19" s="179" t="s">
        <v>173</v>
      </c>
      <c r="AJ19" s="176" t="e">
        <f>IF(AF18+AH23=0,"",AF18+AH23)</f>
        <v>#VALUE!</v>
      </c>
      <c r="AN19" s="161">
        <v>17</v>
      </c>
      <c r="AO19" s="162">
        <v>4</v>
      </c>
      <c r="AP19" s="162">
        <v>3</v>
      </c>
      <c r="AQ19" s="162">
        <v>3</v>
      </c>
      <c r="AR19" s="162">
        <v>3</v>
      </c>
      <c r="AS19" s="162">
        <v>2</v>
      </c>
      <c r="AT19" s="162">
        <v>1</v>
      </c>
      <c r="AU19" s="162">
        <v>1</v>
      </c>
      <c r="AV19" s="162">
        <v>1</v>
      </c>
      <c r="AW19" s="162">
        <v>1</v>
      </c>
      <c r="AX19" s="162">
        <v>107</v>
      </c>
      <c r="AY19" s="161">
        <v>17</v>
      </c>
      <c r="AZ19" s="162"/>
      <c r="BA19" s="162"/>
      <c r="BB19" s="162"/>
      <c r="BC19" s="162"/>
      <c r="BD19" s="162">
        <v>4</v>
      </c>
    </row>
    <row r="20" spans="1:56" ht="16.5" customHeight="1" x14ac:dyDescent="0.25">
      <c r="A20" s="149">
        <v>18</v>
      </c>
      <c r="B20" s="149"/>
      <c r="C20" s="149"/>
      <c r="D20" s="149"/>
      <c r="E20" s="149"/>
      <c r="F20" s="149"/>
      <c r="G20" s="149"/>
      <c r="H20" s="149"/>
      <c r="I20" s="149"/>
      <c r="J20" s="149"/>
      <c r="K20" s="149"/>
      <c r="L20" s="149"/>
      <c r="M20" s="149"/>
      <c r="N20" s="149"/>
      <c r="O20" s="149"/>
      <c r="P20" s="149"/>
      <c r="Q20" s="149"/>
      <c r="R20" s="149"/>
      <c r="AC20" s="275" t="s">
        <v>610</v>
      </c>
      <c r="AD20" s="276"/>
      <c r="AE20" s="144" t="s">
        <v>183</v>
      </c>
      <c r="AF20" s="176" t="str">
        <f>IFERROR(VLOOKUP($AF$14,$AN$2:$AW$22,7,FALSE),"")</f>
        <v/>
      </c>
      <c r="AG20" s="144" t="s">
        <v>158</v>
      </c>
      <c r="AH20" s="144">
        <f>IFERROR(VLOOKUP($AI$12,$AY$2:$BD$22,2,FALSE),"")</f>
        <v>0</v>
      </c>
      <c r="AI20" s="179" t="s">
        <v>178</v>
      </c>
      <c r="AJ20" s="176" t="e">
        <f>IF(AF19+AH24=0,"",AF19+AH24)</f>
        <v>#VALUE!</v>
      </c>
      <c r="AN20" s="145">
        <v>18</v>
      </c>
      <c r="AO20" s="146">
        <v>4</v>
      </c>
      <c r="AP20" s="146">
        <v>3</v>
      </c>
      <c r="AQ20" s="146">
        <v>3</v>
      </c>
      <c r="AR20" s="146">
        <v>3</v>
      </c>
      <c r="AS20" s="146">
        <v>3</v>
      </c>
      <c r="AT20" s="146">
        <v>1</v>
      </c>
      <c r="AU20" s="146">
        <v>1</v>
      </c>
      <c r="AV20" s="146">
        <v>1</v>
      </c>
      <c r="AW20" s="146">
        <v>1</v>
      </c>
      <c r="AX20" s="146">
        <v>114</v>
      </c>
      <c r="AY20" s="145">
        <v>18</v>
      </c>
      <c r="AZ20" s="146"/>
      <c r="BA20" s="146"/>
      <c r="BB20" s="146"/>
      <c r="BC20" s="146"/>
      <c r="BD20" s="146">
        <v>4</v>
      </c>
    </row>
    <row r="21" spans="1:56" ht="16.5" customHeight="1" x14ac:dyDescent="0.25">
      <c r="A21" s="149">
        <v>19</v>
      </c>
      <c r="B21" s="149"/>
      <c r="C21" s="149"/>
      <c r="D21" s="149"/>
      <c r="E21" s="149"/>
      <c r="F21" s="149"/>
      <c r="G21" s="149"/>
      <c r="H21" s="149"/>
      <c r="I21" s="149"/>
      <c r="J21" s="149"/>
      <c r="K21" s="149"/>
      <c r="L21" s="149"/>
      <c r="M21" s="149"/>
      <c r="N21" s="149"/>
      <c r="O21" s="149"/>
      <c r="P21" s="149"/>
      <c r="Q21" s="149"/>
      <c r="R21" s="149"/>
      <c r="AC21" s="160" t="s">
        <v>559</v>
      </c>
      <c r="AD21" s="152">
        <v>2</v>
      </c>
      <c r="AE21" s="144" t="s">
        <v>188</v>
      </c>
      <c r="AF21" s="176" t="str">
        <f>IFERROR(VLOOKUP($AF$14,$AN$2:$AW$22,8,FALSE),"")</f>
        <v/>
      </c>
      <c r="AG21" s="144" t="s">
        <v>163</v>
      </c>
      <c r="AH21" s="144">
        <f>IFERROR(VLOOKUP($AI$12,$AY$2:$BD$22,3,FALSE),"")</f>
        <v>0</v>
      </c>
      <c r="AI21" s="179" t="s">
        <v>183</v>
      </c>
      <c r="AJ21" s="176" t="str">
        <f>IF(AF20=0,"",AF20)</f>
        <v/>
      </c>
      <c r="AN21" s="161">
        <v>19</v>
      </c>
      <c r="AO21" s="162">
        <v>4</v>
      </c>
      <c r="AP21" s="162">
        <v>3</v>
      </c>
      <c r="AQ21" s="162">
        <v>3</v>
      </c>
      <c r="AR21" s="162">
        <v>3</v>
      </c>
      <c r="AS21" s="162">
        <v>3</v>
      </c>
      <c r="AT21" s="162">
        <v>2</v>
      </c>
      <c r="AU21" s="162">
        <v>1</v>
      </c>
      <c r="AV21" s="162">
        <v>1</v>
      </c>
      <c r="AW21" s="162">
        <v>1</v>
      </c>
      <c r="AX21" s="162">
        <v>123</v>
      </c>
      <c r="AY21" s="161">
        <v>19</v>
      </c>
      <c r="AZ21" s="162"/>
      <c r="BA21" s="162"/>
      <c r="BB21" s="162"/>
      <c r="BC21" s="162"/>
      <c r="BD21" s="162">
        <v>4</v>
      </c>
    </row>
    <row r="22" spans="1:56" ht="16.5" customHeight="1" x14ac:dyDescent="0.25">
      <c r="A22" s="149">
        <v>20</v>
      </c>
      <c r="B22" s="149"/>
      <c r="C22" s="149"/>
      <c r="D22" s="149"/>
      <c r="E22" s="149"/>
      <c r="F22" s="149"/>
      <c r="G22" s="149"/>
      <c r="H22" s="149"/>
      <c r="I22" s="149"/>
      <c r="J22" s="149"/>
      <c r="K22" s="149"/>
      <c r="L22" s="149"/>
      <c r="M22" s="149"/>
      <c r="N22" s="149"/>
      <c r="O22" s="149"/>
      <c r="P22" s="149"/>
      <c r="Q22" s="149"/>
      <c r="R22" s="149"/>
      <c r="AC22" s="160" t="s">
        <v>578</v>
      </c>
      <c r="AD22" s="152">
        <v>3</v>
      </c>
      <c r="AE22" s="144" t="s">
        <v>194</v>
      </c>
      <c r="AF22" s="176" t="str">
        <f>IFERROR(VLOOKUP($AF$14,$AN$2:$AW$22,9,FALSE),"")</f>
        <v/>
      </c>
      <c r="AG22" s="144" t="s">
        <v>169</v>
      </c>
      <c r="AH22" s="144">
        <f>IFERROR(VLOOKUP($AI$12,$AY$2:$BD$22,4,FALSE),"")</f>
        <v>0</v>
      </c>
      <c r="AI22" s="179" t="s">
        <v>188</v>
      </c>
      <c r="AJ22" s="176" t="str">
        <f>IF(AF21=0,"",AF21)</f>
        <v/>
      </c>
      <c r="AN22" s="145">
        <v>20</v>
      </c>
      <c r="AO22" s="146">
        <v>4</v>
      </c>
      <c r="AP22" s="146">
        <v>3</v>
      </c>
      <c r="AQ22" s="146">
        <v>3</v>
      </c>
      <c r="AR22" s="146">
        <v>3</v>
      </c>
      <c r="AS22" s="146">
        <v>3</v>
      </c>
      <c r="AT22" s="146">
        <v>2</v>
      </c>
      <c r="AU22" s="146">
        <v>2</v>
      </c>
      <c r="AV22" s="146">
        <v>1</v>
      </c>
      <c r="AW22" s="146">
        <v>1</v>
      </c>
      <c r="AX22" s="146">
        <v>133</v>
      </c>
      <c r="AY22" s="145">
        <v>20</v>
      </c>
      <c r="AZ22" s="146" t="str">
        <f>""</f>
        <v/>
      </c>
      <c r="BA22" s="146" t="str">
        <f>""</f>
        <v/>
      </c>
      <c r="BB22" s="146" t="str">
        <f>""</f>
        <v/>
      </c>
      <c r="BC22" s="146" t="str">
        <f>""</f>
        <v/>
      </c>
      <c r="BD22" s="146">
        <v>4</v>
      </c>
    </row>
    <row r="23" spans="1:56" ht="16.5" customHeight="1" x14ac:dyDescent="0.25">
      <c r="AC23" s="160" t="s">
        <v>649</v>
      </c>
      <c r="AD23" s="152">
        <v>4</v>
      </c>
      <c r="AE23" s="144" t="s">
        <v>198</v>
      </c>
      <c r="AF23" s="176" t="str">
        <f>IFERROR(VLOOKUP($AF$14,$AN$2:$AW$22,10,FALSE),"")</f>
        <v/>
      </c>
      <c r="AG23" s="144" t="s">
        <v>173</v>
      </c>
      <c r="AH23" s="144">
        <f>IFERROR(VLOOKUP($AI$12,$AY$2:$BD$22,5,FALSE),"")</f>
        <v>0</v>
      </c>
      <c r="AI23" s="179" t="s">
        <v>194</v>
      </c>
      <c r="AJ23" s="176" t="str">
        <f>IF(AF22=0,"",AF22)</f>
        <v/>
      </c>
    </row>
    <row r="24" spans="1:56" ht="16.5" customHeight="1" x14ac:dyDescent="0.25">
      <c r="AC24" s="173" t="s">
        <v>681</v>
      </c>
      <c r="AD24" s="165">
        <v>5</v>
      </c>
      <c r="AE24" s="181" t="s">
        <v>134</v>
      </c>
      <c r="AF24" s="182" t="str">
        <f>IFERROR(VLOOKUP($AF$14,$AN$2:$AX$22,11,FALSE),"")</f>
        <v/>
      </c>
      <c r="AG24" s="183" t="s">
        <v>178</v>
      </c>
      <c r="AH24" s="183">
        <f>IFERROR(VLOOKUP($AI$12,$AY$2:$BD$22,6,FALSE),"")</f>
        <v>0</v>
      </c>
      <c r="AI24" s="181" t="s">
        <v>198</v>
      </c>
      <c r="AJ24" s="182" t="str">
        <f>IF(AF23=0,"",AF23)</f>
        <v/>
      </c>
    </row>
    <row r="25" spans="1:56" ht="16.5" customHeight="1" x14ac:dyDescent="0.25">
      <c r="AX25" s="114" t="s">
        <v>687</v>
      </c>
      <c r="AY25" s="114" t="s">
        <v>688</v>
      </c>
      <c r="AZ25" s="114" t="s">
        <v>689</v>
      </c>
      <c r="BA25" s="114" t="s">
        <v>690</v>
      </c>
    </row>
    <row r="26" spans="1:56" ht="16.5" customHeight="1" x14ac:dyDescent="0.25">
      <c r="AW26" s="129" t="e">
        <f>IF(#REF!&lt;&gt;"",#REF!,"")</f>
        <v>#REF!</v>
      </c>
      <c r="AX26" s="129" t="str">
        <f>IFERROR(VLOOKUP(AW26,A29:E192,2,FALSE),"")</f>
        <v/>
      </c>
      <c r="AY26" s="129" t="str">
        <f>IFERROR(VLOOKUP(AW26,A29:E192,3,FALSE),"")</f>
        <v/>
      </c>
      <c r="AZ26" s="129" t="str">
        <f>IFERROR(VLOOKUP(AW26,A29:E192,4,FALSE),"")</f>
        <v/>
      </c>
      <c r="BA26" s="129" t="str">
        <f>IFERROR(VLOOKUP(AW26,A29:E192,5,FALSE),"")</f>
        <v/>
      </c>
    </row>
    <row r="27" spans="1:56" ht="16.5" customHeight="1" x14ac:dyDescent="0.25">
      <c r="AW27" s="129" t="e">
        <f>IF(#REF!&lt;&gt;"",#REF!,"")</f>
        <v>#REF!</v>
      </c>
      <c r="AX27" s="114" t="s">
        <v>691</v>
      </c>
      <c r="AY27" s="114" t="s">
        <v>691</v>
      </c>
      <c r="AZ27" s="129" t="str">
        <f>IFERROR(VLOOKUP(AW27,A29:E192,4,FALSE),"")</f>
        <v/>
      </c>
      <c r="BA27" s="129" t="str">
        <f>IFERROR(VLOOKUP(AW27,A29:E192,5,FALSE),"")</f>
        <v/>
      </c>
    </row>
    <row r="28" spans="1:56" ht="16.5" customHeight="1" x14ac:dyDescent="0.25">
      <c r="B28" s="114" t="s">
        <v>692</v>
      </c>
      <c r="C28" s="114" t="s">
        <v>693</v>
      </c>
      <c r="D28" s="114" t="s">
        <v>689</v>
      </c>
      <c r="E28" s="114" t="s">
        <v>690</v>
      </c>
    </row>
    <row r="29" spans="1:56" ht="16.5" customHeight="1" x14ac:dyDescent="0.25">
      <c r="A29" s="114" t="s">
        <v>560</v>
      </c>
      <c r="B29" s="114">
        <v>1</v>
      </c>
      <c r="C29" s="114">
        <v>2</v>
      </c>
      <c r="D29" s="114">
        <v>1</v>
      </c>
      <c r="E29" s="114">
        <v>19</v>
      </c>
      <c r="G29" s="184"/>
      <c r="H29" s="184">
        <v>1</v>
      </c>
      <c r="I29" s="184">
        <v>2</v>
      </c>
      <c r="J29" s="184">
        <v>3</v>
      </c>
      <c r="K29" s="184">
        <v>4</v>
      </c>
      <c r="L29" s="184">
        <v>5</v>
      </c>
      <c r="M29" s="184">
        <v>6</v>
      </c>
      <c r="N29" s="184">
        <v>7</v>
      </c>
      <c r="O29" s="184">
        <v>8</v>
      </c>
      <c r="P29" s="184">
        <v>9</v>
      </c>
      <c r="Q29" s="184">
        <v>10</v>
      </c>
      <c r="R29" s="184">
        <v>11</v>
      </c>
      <c r="S29" s="184">
        <v>12</v>
      </c>
      <c r="T29" s="184">
        <v>13</v>
      </c>
      <c r="U29" s="184">
        <v>14</v>
      </c>
      <c r="V29" s="184">
        <v>15</v>
      </c>
      <c r="W29" s="184">
        <v>16</v>
      </c>
      <c r="X29" s="184">
        <v>17</v>
      </c>
      <c r="Y29" s="184">
        <v>18</v>
      </c>
      <c r="Z29" s="184">
        <v>19</v>
      </c>
      <c r="AA29" s="184">
        <v>20</v>
      </c>
      <c r="AB29" s="184">
        <v>21</v>
      </c>
      <c r="AC29" s="184">
        <v>22</v>
      </c>
      <c r="AD29" s="184">
        <v>23</v>
      </c>
      <c r="AE29" s="184">
        <v>24</v>
      </c>
      <c r="AF29" s="184">
        <v>25</v>
      </c>
      <c r="AG29" s="184">
        <v>26</v>
      </c>
      <c r="AH29" s="184">
        <v>27</v>
      </c>
      <c r="AI29" s="184">
        <v>28</v>
      </c>
      <c r="AJ29" s="184">
        <v>29</v>
      </c>
      <c r="AK29" s="184">
        <v>30</v>
      </c>
      <c r="AL29" s="184">
        <v>31</v>
      </c>
      <c r="AM29" s="184">
        <v>32</v>
      </c>
      <c r="AN29" s="184">
        <v>33</v>
      </c>
      <c r="AO29" s="184">
        <v>34</v>
      </c>
      <c r="AP29" s="184">
        <v>35</v>
      </c>
      <c r="AQ29" s="184">
        <v>36</v>
      </c>
      <c r="AR29" s="184">
        <v>37</v>
      </c>
      <c r="AS29" s="184">
        <v>38</v>
      </c>
      <c r="AT29" s="184">
        <v>39</v>
      </c>
      <c r="AU29" s="184">
        <v>40</v>
      </c>
      <c r="AW29" s="129">
        <v>0</v>
      </c>
      <c r="AX29" s="129" t="s">
        <v>48</v>
      </c>
      <c r="AY29" s="129" t="s">
        <v>49</v>
      </c>
      <c r="AZ29" s="129" t="s">
        <v>694</v>
      </c>
    </row>
    <row r="30" spans="1:56" ht="16.5" customHeight="1" x14ac:dyDescent="0.25">
      <c r="A30" s="114" t="s">
        <v>157</v>
      </c>
      <c r="B30" s="114">
        <v>3</v>
      </c>
      <c r="C30" s="114">
        <v>4</v>
      </c>
      <c r="D30" s="114">
        <v>1</v>
      </c>
      <c r="E30" s="114">
        <v>22</v>
      </c>
      <c r="G30" s="184"/>
      <c r="H30" s="277" t="s">
        <v>560</v>
      </c>
      <c r="I30" s="278"/>
      <c r="J30" s="277" t="s">
        <v>157</v>
      </c>
      <c r="K30" s="278"/>
      <c r="L30" s="277" t="s">
        <v>162</v>
      </c>
      <c r="M30" s="278"/>
      <c r="N30" s="277" t="s">
        <v>168</v>
      </c>
      <c r="O30" s="278"/>
      <c r="P30" s="277" t="s">
        <v>63</v>
      </c>
      <c r="Q30" s="278"/>
      <c r="R30" s="277" t="s">
        <v>609</v>
      </c>
      <c r="S30" s="278"/>
      <c r="T30" s="277" t="s">
        <v>171</v>
      </c>
      <c r="U30" s="278"/>
      <c r="V30" s="277" t="s">
        <v>176</v>
      </c>
      <c r="W30" s="278"/>
      <c r="X30" s="277" t="s">
        <v>622</v>
      </c>
      <c r="Y30" s="278"/>
      <c r="Z30" s="277" t="s">
        <v>181</v>
      </c>
      <c r="AA30" s="278"/>
      <c r="AB30" s="277" t="s">
        <v>187</v>
      </c>
      <c r="AC30" s="278"/>
      <c r="AD30" s="277" t="s">
        <v>193</v>
      </c>
      <c r="AE30" s="278"/>
      <c r="AF30" s="277" t="s">
        <v>207</v>
      </c>
      <c r="AG30" s="278"/>
      <c r="AH30" s="279" t="s">
        <v>695</v>
      </c>
      <c r="AI30" s="279"/>
      <c r="AJ30" s="279" t="s">
        <v>695</v>
      </c>
      <c r="AK30" s="279"/>
      <c r="AL30" s="279" t="s">
        <v>695</v>
      </c>
      <c r="AM30" s="279"/>
      <c r="AN30" s="279" t="s">
        <v>695</v>
      </c>
      <c r="AO30" s="279"/>
      <c r="AP30" s="279" t="s">
        <v>695</v>
      </c>
      <c r="AQ30" s="279"/>
      <c r="AR30" s="279" t="s">
        <v>695</v>
      </c>
      <c r="AS30" s="279"/>
      <c r="AT30" s="279" t="s">
        <v>695</v>
      </c>
      <c r="AU30" s="279"/>
      <c r="AW30" s="129">
        <f>IFERROR(IF(AW29+1&gt;BA26,IF(AW29+1&gt;BA26,IF(AZ27+AZ29&gt;BA27,"",AZ27+AZ29)),AW29+1),"")</f>
        <v>1</v>
      </c>
      <c r="AX30" s="129" t="str">
        <f>IFERROR(INDEX(H31:AU181,AW30,AX26),"")</f>
        <v/>
      </c>
      <c r="AY30" s="129" t="str">
        <f>IFERROR(INDEX(H31:AU181,AW30,AY26),"")</f>
        <v/>
      </c>
      <c r="AZ30" s="129">
        <f>IFERROR(IF(AW29+1&gt;BA26,AZ29+1,0),"")</f>
        <v>0</v>
      </c>
      <c r="BB30" s="129" t="e">
        <f>IF(#REF!="","",#REF!)</f>
        <v>#REF!</v>
      </c>
      <c r="BC30" s="129" t="str">
        <f>IFERROR(VLOOKUP(BB30,AX30:AY129,2,FALSE),"")</f>
        <v/>
      </c>
    </row>
    <row r="31" spans="1:56" ht="16.5" customHeight="1" x14ac:dyDescent="0.25">
      <c r="A31" s="114" t="s">
        <v>162</v>
      </c>
      <c r="B31" s="114">
        <v>5</v>
      </c>
      <c r="C31" s="114">
        <v>6</v>
      </c>
      <c r="D31" s="114">
        <v>1</v>
      </c>
      <c r="E31" s="114">
        <v>19</v>
      </c>
      <c r="G31" s="184">
        <v>1</v>
      </c>
      <c r="H31" s="185" t="s">
        <v>84</v>
      </c>
      <c r="I31" s="186" t="s">
        <v>696</v>
      </c>
      <c r="J31" s="187" t="s">
        <v>84</v>
      </c>
      <c r="K31" s="186" t="s">
        <v>697</v>
      </c>
      <c r="L31" s="187" t="s">
        <v>84</v>
      </c>
      <c r="M31" s="186" t="s">
        <v>696</v>
      </c>
      <c r="N31" s="187" t="s">
        <v>84</v>
      </c>
      <c r="O31" s="186" t="s">
        <v>698</v>
      </c>
      <c r="P31" s="187" t="s">
        <v>84</v>
      </c>
      <c r="Q31" s="186" t="s">
        <v>85</v>
      </c>
      <c r="R31" s="187" t="s">
        <v>84</v>
      </c>
      <c r="S31" s="186" t="s">
        <v>699</v>
      </c>
      <c r="T31" s="187" t="s">
        <v>84</v>
      </c>
      <c r="U31" s="186" t="s">
        <v>700</v>
      </c>
      <c r="V31" s="187" t="s">
        <v>84</v>
      </c>
      <c r="W31" s="186" t="s">
        <v>696</v>
      </c>
      <c r="X31" s="187" t="s">
        <v>84</v>
      </c>
      <c r="Y31" s="186" t="s">
        <v>697</v>
      </c>
      <c r="Z31" s="187" t="s">
        <v>84</v>
      </c>
      <c r="AA31" s="186" t="s">
        <v>699</v>
      </c>
      <c r="AB31" s="187" t="s">
        <v>84</v>
      </c>
      <c r="AC31" s="186" t="s">
        <v>697</v>
      </c>
      <c r="AD31" s="187" t="s">
        <v>84</v>
      </c>
      <c r="AE31" s="186" t="s">
        <v>699</v>
      </c>
      <c r="AF31" s="187" t="s">
        <v>84</v>
      </c>
      <c r="AG31" s="187" t="s">
        <v>696</v>
      </c>
      <c r="AH31" s="184"/>
      <c r="AI31" s="184"/>
      <c r="AJ31" s="184"/>
      <c r="AK31" s="184"/>
      <c r="AL31" s="184"/>
      <c r="AM31" s="184"/>
      <c r="AN31" s="184"/>
      <c r="AO31" s="184"/>
      <c r="AP31" s="184"/>
      <c r="AQ31" s="184"/>
      <c r="AR31" s="184"/>
      <c r="AS31" s="184"/>
      <c r="AT31" s="184"/>
      <c r="AU31" s="188"/>
      <c r="AW31" s="129">
        <f>IFERROR(IF(AW30+1&gt;BA26,IF(AW30+1&gt;BA26,IF(AZ27+AZ30&gt;BA27,"",AZ27+AZ30)),AW30+1),"")</f>
        <v>2</v>
      </c>
      <c r="AX31" s="129" t="str">
        <f>IFERROR(INDEX(H31:AU181,AW31,AX26),"")</f>
        <v/>
      </c>
      <c r="AY31" s="129" t="str">
        <f>IFERROR(INDEX(H31:AU181,AW31,AY26),"")</f>
        <v/>
      </c>
      <c r="AZ31" s="129">
        <f>IFERROR(IF(AW30+1&gt;BA26,AZ30+1,0),"")</f>
        <v>0</v>
      </c>
      <c r="BB31" s="129" t="e">
        <f>IF(#REF!="","",#REF!)</f>
        <v>#REF!</v>
      </c>
      <c r="BC31" s="129" t="str">
        <f>IFERROR(VLOOKUP(BB31,AX30:AY129,2,FALSE),"")</f>
        <v/>
      </c>
    </row>
    <row r="32" spans="1:56" ht="16.5" customHeight="1" x14ac:dyDescent="0.25">
      <c r="A32" s="114" t="s">
        <v>168</v>
      </c>
      <c r="B32" s="114">
        <v>7</v>
      </c>
      <c r="C32" s="114">
        <v>8</v>
      </c>
      <c r="D32" s="114">
        <v>1</v>
      </c>
      <c r="E32" s="114">
        <v>19</v>
      </c>
      <c r="G32" s="184">
        <v>2</v>
      </c>
      <c r="H32" s="185" t="s">
        <v>88</v>
      </c>
      <c r="I32" s="186" t="s">
        <v>89</v>
      </c>
      <c r="J32" s="187" t="s">
        <v>88</v>
      </c>
      <c r="K32" s="186" t="s">
        <v>701</v>
      </c>
      <c r="L32" s="187" t="s">
        <v>88</v>
      </c>
      <c r="M32" s="186" t="s">
        <v>702</v>
      </c>
      <c r="N32" s="187" t="s">
        <v>88</v>
      </c>
      <c r="O32" s="186" t="s">
        <v>703</v>
      </c>
      <c r="P32" s="187" t="s">
        <v>88</v>
      </c>
      <c r="Q32" s="186" t="s">
        <v>89</v>
      </c>
      <c r="R32" s="187" t="s">
        <v>88</v>
      </c>
      <c r="S32" s="186" t="s">
        <v>704</v>
      </c>
      <c r="T32" s="187" t="s">
        <v>88</v>
      </c>
      <c r="U32" s="186" t="s">
        <v>705</v>
      </c>
      <c r="V32" s="187" t="s">
        <v>88</v>
      </c>
      <c r="W32" s="186" t="s">
        <v>89</v>
      </c>
      <c r="X32" s="187" t="s">
        <v>88</v>
      </c>
      <c r="Y32" s="186" t="s">
        <v>701</v>
      </c>
      <c r="Z32" s="187" t="s">
        <v>88</v>
      </c>
      <c r="AA32" s="186" t="s">
        <v>706</v>
      </c>
      <c r="AB32" s="187" t="s">
        <v>88</v>
      </c>
      <c r="AC32" s="186" t="s">
        <v>702</v>
      </c>
      <c r="AD32" s="187" t="s">
        <v>88</v>
      </c>
      <c r="AE32" s="186" t="s">
        <v>706</v>
      </c>
      <c r="AF32" s="187" t="s">
        <v>88</v>
      </c>
      <c r="AG32" s="187" t="s">
        <v>702</v>
      </c>
      <c r="AH32" s="184"/>
      <c r="AI32" s="184"/>
      <c r="AJ32" s="184"/>
      <c r="AK32" s="184"/>
      <c r="AL32" s="184"/>
      <c r="AM32" s="184"/>
      <c r="AN32" s="184"/>
      <c r="AO32" s="184"/>
      <c r="AP32" s="184"/>
      <c r="AQ32" s="184"/>
      <c r="AR32" s="184"/>
      <c r="AS32" s="184"/>
      <c r="AT32" s="184"/>
      <c r="AU32" s="188"/>
      <c r="AW32" s="129">
        <f>IFERROR(IF(AW31+1&gt;BA26,IF(AW31+1&gt;BA26,IF(AZ27+AZ31&gt;BA27,"",AZ27+AZ31)),AW31+1),"")</f>
        <v>3</v>
      </c>
      <c r="AX32" s="129" t="str">
        <f>IFERROR(INDEX(H31:AU181,AW32,AX26),"")</f>
        <v/>
      </c>
      <c r="AY32" s="129" t="str">
        <f>IFERROR(INDEX(H31:AU181,AW32,AY26),"")</f>
        <v/>
      </c>
      <c r="AZ32" s="129">
        <f>IFERROR(IF(AW31+1&gt;BA26,AZ31+1,0),"")</f>
        <v>0</v>
      </c>
      <c r="BB32" s="129" t="e">
        <f>IF(#REF!="","",#REF!)</f>
        <v>#REF!</v>
      </c>
      <c r="BC32" s="129" t="str">
        <f>IFERROR(VLOOKUP(BB32,AX30:AY129,2,FALSE),"")</f>
        <v/>
      </c>
    </row>
    <row r="33" spans="1:55" ht="16.5" customHeight="1" x14ac:dyDescent="0.25">
      <c r="A33" s="114" t="s">
        <v>63</v>
      </c>
      <c r="B33" s="114">
        <v>9</v>
      </c>
      <c r="C33" s="114">
        <v>10</v>
      </c>
      <c r="D33" s="114">
        <v>1</v>
      </c>
      <c r="E33" s="114">
        <v>12</v>
      </c>
      <c r="G33" s="184">
        <v>3</v>
      </c>
      <c r="H33" s="185" t="s">
        <v>707</v>
      </c>
      <c r="I33" s="186" t="s">
        <v>699</v>
      </c>
      <c r="J33" s="187" t="s">
        <v>707</v>
      </c>
      <c r="K33" s="186" t="s">
        <v>708</v>
      </c>
      <c r="L33" s="187" t="s">
        <v>707</v>
      </c>
      <c r="M33" s="186" t="s">
        <v>699</v>
      </c>
      <c r="N33" s="187" t="s">
        <v>707</v>
      </c>
      <c r="O33" s="186" t="s">
        <v>490</v>
      </c>
      <c r="P33" s="187" t="s">
        <v>707</v>
      </c>
      <c r="Q33" s="186" t="s">
        <v>699</v>
      </c>
      <c r="R33" s="187" t="s">
        <v>707</v>
      </c>
      <c r="S33" s="186" t="s">
        <v>709</v>
      </c>
      <c r="T33" s="187" t="s">
        <v>707</v>
      </c>
      <c r="U33" s="186" t="s">
        <v>699</v>
      </c>
      <c r="V33" s="187" t="s">
        <v>707</v>
      </c>
      <c r="W33" s="186" t="s">
        <v>699</v>
      </c>
      <c r="X33" s="187" t="s">
        <v>707</v>
      </c>
      <c r="Y33" s="186" t="s">
        <v>510</v>
      </c>
      <c r="Z33" s="187" t="s">
        <v>707</v>
      </c>
      <c r="AA33" s="186" t="s">
        <v>699</v>
      </c>
      <c r="AB33" s="187" t="s">
        <v>707</v>
      </c>
      <c r="AC33" s="186" t="s">
        <v>699</v>
      </c>
      <c r="AD33" s="187" t="s">
        <v>707</v>
      </c>
      <c r="AE33" s="186" t="s">
        <v>699</v>
      </c>
      <c r="AF33" s="187" t="s">
        <v>707</v>
      </c>
      <c r="AG33" s="187" t="s">
        <v>710</v>
      </c>
      <c r="AH33" s="184"/>
      <c r="AI33" s="184"/>
      <c r="AJ33" s="184"/>
      <c r="AK33" s="184"/>
      <c r="AL33" s="184"/>
      <c r="AM33" s="184"/>
      <c r="AN33" s="184"/>
      <c r="AO33" s="184"/>
      <c r="AP33" s="184"/>
      <c r="AQ33" s="184"/>
      <c r="AR33" s="184"/>
      <c r="AS33" s="184"/>
      <c r="AT33" s="184"/>
      <c r="AU33" s="188"/>
      <c r="AW33" s="129">
        <f>IFERROR(IF(AW32+1&gt;BA26,IF(AW32+1&gt;BA26,IF(AZ27+AZ32&gt;BA27,"",AZ27+AZ32)),AW32+1),"")</f>
        <v>4</v>
      </c>
      <c r="AX33" s="129" t="str">
        <f>IFERROR(INDEX(H31:AU181,AW33,AX26),"")</f>
        <v/>
      </c>
      <c r="AY33" s="129" t="str">
        <f>IFERROR(INDEX(H31:AU181,AW33,AY26),"")</f>
        <v/>
      </c>
      <c r="AZ33" s="129">
        <f>IFERROR(IF(AW32+1&gt;BA26,AZ32+1,0),"")</f>
        <v>0</v>
      </c>
      <c r="BB33" s="129" t="e">
        <f>IF(#REF!="","",#REF!)</f>
        <v>#REF!</v>
      </c>
      <c r="BC33" s="129" t="str">
        <f>IFERROR(VLOOKUP(BB33,AX30:AY129,2,FALSE),"")</f>
        <v/>
      </c>
    </row>
    <row r="34" spans="1:55" ht="16.5" customHeight="1" x14ac:dyDescent="0.25">
      <c r="A34" s="114" t="s">
        <v>609</v>
      </c>
      <c r="B34" s="114">
        <v>11</v>
      </c>
      <c r="C34" s="114">
        <v>12</v>
      </c>
      <c r="D34" s="114">
        <v>1</v>
      </c>
      <c r="E34" s="114">
        <v>29</v>
      </c>
      <c r="G34" s="184">
        <v>4</v>
      </c>
      <c r="H34" s="189" t="s">
        <v>711</v>
      </c>
      <c r="I34" s="190" t="s">
        <v>712</v>
      </c>
      <c r="J34" s="191" t="s">
        <v>713</v>
      </c>
      <c r="K34" s="190" t="s">
        <v>714</v>
      </c>
      <c r="L34" s="191" t="s">
        <v>713</v>
      </c>
      <c r="M34" s="190" t="s">
        <v>715</v>
      </c>
      <c r="N34" s="191" t="s">
        <v>716</v>
      </c>
      <c r="O34" s="190" t="s">
        <v>717</v>
      </c>
      <c r="P34" s="191" t="s">
        <v>718</v>
      </c>
      <c r="Q34" s="190" t="s">
        <v>719</v>
      </c>
      <c r="R34" s="191" t="s">
        <v>720</v>
      </c>
      <c r="S34" s="190" t="s">
        <v>721</v>
      </c>
      <c r="T34" s="191" t="s">
        <v>722</v>
      </c>
      <c r="U34" s="190" t="s">
        <v>723</v>
      </c>
      <c r="V34" s="191" t="s">
        <v>724</v>
      </c>
      <c r="W34" s="190" t="s">
        <v>725</v>
      </c>
      <c r="X34" s="191" t="s">
        <v>726</v>
      </c>
      <c r="Y34" s="190" t="s">
        <v>727</v>
      </c>
      <c r="Z34" s="191" t="s">
        <v>713</v>
      </c>
      <c r="AA34" s="190" t="s">
        <v>728</v>
      </c>
      <c r="AB34" s="191" t="s">
        <v>729</v>
      </c>
      <c r="AC34" s="190" t="s">
        <v>730</v>
      </c>
      <c r="AD34" s="191" t="s">
        <v>713</v>
      </c>
      <c r="AE34" s="190" t="s">
        <v>731</v>
      </c>
      <c r="AF34" s="191" t="s">
        <v>732</v>
      </c>
      <c r="AG34" s="191" t="s">
        <v>733</v>
      </c>
      <c r="AH34" s="184"/>
      <c r="AI34" s="184"/>
      <c r="AJ34" s="184"/>
      <c r="AK34" s="184"/>
      <c r="AL34" s="184"/>
      <c r="AM34" s="184"/>
      <c r="AN34" s="184"/>
      <c r="AO34" s="184"/>
      <c r="AP34" s="184"/>
      <c r="AQ34" s="184"/>
      <c r="AR34" s="184"/>
      <c r="AS34" s="184"/>
      <c r="AT34" s="184"/>
      <c r="AU34" s="188"/>
      <c r="AW34" s="129">
        <f>IFERROR(IF(AW33+1&gt;BA26,IF(AW33+1&gt;BA26,IF(AZ27+AZ33&gt;BA27,"",AZ27+AZ33)),AW33+1),"")</f>
        <v>5</v>
      </c>
      <c r="AX34" s="129" t="str">
        <f>IFERROR(INDEX(H31:AU181,AW34,AX26),"")</f>
        <v/>
      </c>
      <c r="AY34" s="129" t="str">
        <f>IFERROR(INDEX(H31:AU181,AW34,AY26),"")</f>
        <v/>
      </c>
      <c r="AZ34" s="129">
        <f>IFERROR(IF(AW33+1&gt;BA26,AZ33+1,0),"")</f>
        <v>0</v>
      </c>
      <c r="BB34" s="129" t="e">
        <f>IF(#REF!="","",#REF!)</f>
        <v>#REF!</v>
      </c>
      <c r="BC34" s="129" t="str">
        <f>IFERROR(VLOOKUP(BB34,AX30:AY129,2,FALSE),"")</f>
        <v/>
      </c>
    </row>
    <row r="35" spans="1:55" ht="16.5" customHeight="1" x14ac:dyDescent="0.25">
      <c r="A35" s="114" t="s">
        <v>171</v>
      </c>
      <c r="B35" s="114">
        <v>13</v>
      </c>
      <c r="C35" s="114">
        <v>14</v>
      </c>
      <c r="D35" s="114">
        <v>1</v>
      </c>
      <c r="E35" s="114">
        <v>24</v>
      </c>
      <c r="G35" s="184">
        <v>5</v>
      </c>
      <c r="H35" s="189" t="s">
        <v>720</v>
      </c>
      <c r="I35" s="190" t="s">
        <v>734</v>
      </c>
      <c r="J35" s="191" t="s">
        <v>150</v>
      </c>
      <c r="K35" s="190" t="s">
        <v>735</v>
      </c>
      <c r="L35" s="191" t="s">
        <v>150</v>
      </c>
      <c r="M35" s="190" t="s">
        <v>736</v>
      </c>
      <c r="N35" s="191" t="s">
        <v>713</v>
      </c>
      <c r="O35" s="190" t="s">
        <v>737</v>
      </c>
      <c r="P35" s="191" t="s">
        <v>738</v>
      </c>
      <c r="Q35" s="190" t="s">
        <v>739</v>
      </c>
      <c r="R35" s="191" t="s">
        <v>740</v>
      </c>
      <c r="S35" s="190" t="s">
        <v>741</v>
      </c>
      <c r="T35" s="191" t="s">
        <v>742</v>
      </c>
      <c r="U35" s="190" t="s">
        <v>743</v>
      </c>
      <c r="V35" s="191" t="s">
        <v>744</v>
      </c>
      <c r="W35" s="190" t="s">
        <v>745</v>
      </c>
      <c r="X35" s="191" t="s">
        <v>746</v>
      </c>
      <c r="Y35" s="190" t="s">
        <v>747</v>
      </c>
      <c r="Z35" s="191" t="s">
        <v>150</v>
      </c>
      <c r="AA35" s="190" t="s">
        <v>748</v>
      </c>
      <c r="AB35" s="191" t="s">
        <v>150</v>
      </c>
      <c r="AC35" s="190" t="s">
        <v>749</v>
      </c>
      <c r="AD35" s="191" t="s">
        <v>150</v>
      </c>
      <c r="AE35" s="190" t="s">
        <v>750</v>
      </c>
      <c r="AF35" s="191" t="s">
        <v>751</v>
      </c>
      <c r="AG35" s="191" t="s">
        <v>752</v>
      </c>
      <c r="AH35" s="184"/>
      <c r="AI35" s="184"/>
      <c r="AJ35" s="184"/>
      <c r="AK35" s="184"/>
      <c r="AL35" s="184"/>
      <c r="AM35" s="184"/>
      <c r="AN35" s="184"/>
      <c r="AO35" s="184"/>
      <c r="AP35" s="184"/>
      <c r="AQ35" s="184"/>
      <c r="AR35" s="184"/>
      <c r="AS35" s="184"/>
      <c r="AT35" s="184"/>
      <c r="AU35" s="188"/>
      <c r="AW35" s="129">
        <f>IFERROR(IF(AW34+1&gt;BA26,IF(AW34+1&gt;BA26,IF(AZ27+AZ34&gt;BA27,"",AZ27+AZ34)),AW34+1),"")</f>
        <v>6</v>
      </c>
      <c r="AX35" s="129" t="str">
        <f>IFERROR(INDEX(H31:AU181,AW35,AX26),"")</f>
        <v/>
      </c>
      <c r="AY35" s="129" t="str">
        <f>IFERROR(INDEX(H31:AU181,AW35,AY26),"")</f>
        <v/>
      </c>
      <c r="AZ35" s="129">
        <f>IFERROR(IF(AW34+1&gt;BA26,AZ34+1,0),"")</f>
        <v>0</v>
      </c>
      <c r="BB35" s="129" t="e">
        <f>IF(#REF!="","",#REF!)</f>
        <v>#REF!</v>
      </c>
      <c r="BC35" s="129" t="str">
        <f>IFERROR(VLOOKUP(BB35,AX30:AY129,2,FALSE),"")</f>
        <v/>
      </c>
    </row>
    <row r="36" spans="1:55" ht="16.5" customHeight="1" x14ac:dyDescent="0.25">
      <c r="A36" s="114" t="s">
        <v>176</v>
      </c>
      <c r="B36" s="114">
        <v>15</v>
      </c>
      <c r="C36" s="114">
        <v>16</v>
      </c>
      <c r="D36" s="114">
        <v>1</v>
      </c>
      <c r="E36" s="114">
        <v>25</v>
      </c>
      <c r="G36" s="184">
        <v>6</v>
      </c>
      <c r="H36" s="189" t="s">
        <v>753</v>
      </c>
      <c r="I36" s="190" t="s">
        <v>754</v>
      </c>
      <c r="J36" s="191" t="s">
        <v>133</v>
      </c>
      <c r="K36" s="190" t="s">
        <v>755</v>
      </c>
      <c r="L36" s="191" t="s">
        <v>756</v>
      </c>
      <c r="M36" s="190" t="s">
        <v>757</v>
      </c>
      <c r="N36" s="191" t="s">
        <v>150</v>
      </c>
      <c r="O36" s="190" t="s">
        <v>758</v>
      </c>
      <c r="P36" s="191" t="s">
        <v>81</v>
      </c>
      <c r="Q36" s="190" t="s">
        <v>82</v>
      </c>
      <c r="R36" s="191" t="s">
        <v>759</v>
      </c>
      <c r="S36" s="190" t="s">
        <v>760</v>
      </c>
      <c r="T36" s="191" t="s">
        <v>718</v>
      </c>
      <c r="U36" s="190" t="s">
        <v>761</v>
      </c>
      <c r="V36" s="191" t="s">
        <v>762</v>
      </c>
      <c r="W36" s="190" t="s">
        <v>763</v>
      </c>
      <c r="X36" s="191" t="s">
        <v>764</v>
      </c>
      <c r="Y36" s="190" t="s">
        <v>765</v>
      </c>
      <c r="Z36" s="191" t="s">
        <v>133</v>
      </c>
      <c r="AA36" s="190" t="s">
        <v>766</v>
      </c>
      <c r="AB36" s="191" t="s">
        <v>133</v>
      </c>
      <c r="AC36" s="190" t="s">
        <v>767</v>
      </c>
      <c r="AD36" s="191" t="s">
        <v>768</v>
      </c>
      <c r="AE36" s="190" t="s">
        <v>769</v>
      </c>
      <c r="AF36" s="191" t="s">
        <v>713</v>
      </c>
      <c r="AG36" s="191" t="s">
        <v>770</v>
      </c>
      <c r="AH36" s="184"/>
      <c r="AI36" s="184"/>
      <c r="AJ36" s="184"/>
      <c r="AK36" s="184"/>
      <c r="AL36" s="184"/>
      <c r="AM36" s="184"/>
      <c r="AN36" s="184"/>
      <c r="AO36" s="184"/>
      <c r="AP36" s="184"/>
      <c r="AQ36" s="184"/>
      <c r="AR36" s="184"/>
      <c r="AS36" s="184"/>
      <c r="AT36" s="184"/>
      <c r="AU36" s="188"/>
      <c r="AW36" s="129">
        <f>IFERROR(IF(AW35+1&gt;BA26,IF(AW35+1&gt;BA26,IF(AZ27+AZ35&gt;BA27,"",AZ27+AZ35)),AW35+1),"")</f>
        <v>7</v>
      </c>
      <c r="AX36" s="129" t="str">
        <f>IFERROR(INDEX(H31:AU181,AW36,AX26),"")</f>
        <v/>
      </c>
      <c r="AY36" s="129" t="str">
        <f>IFERROR(INDEX(H31:AU181,AW36,AY26),"")</f>
        <v/>
      </c>
      <c r="AZ36" s="129">
        <f>IFERROR(IF(AW35+1&gt;BA26,AZ35+1,0),"")</f>
        <v>0</v>
      </c>
      <c r="BB36" s="129" t="e">
        <f>IF(#REF!="","",#REF!)</f>
        <v>#REF!</v>
      </c>
      <c r="BC36" s="129" t="str">
        <f>IFERROR(VLOOKUP(BB36,AX30:AY129,2,FALSE),"")</f>
        <v/>
      </c>
    </row>
    <row r="37" spans="1:55" ht="16.5" customHeight="1" x14ac:dyDescent="0.25">
      <c r="A37" s="114" t="s">
        <v>622</v>
      </c>
      <c r="B37" s="114">
        <v>17</v>
      </c>
      <c r="C37" s="114">
        <v>18</v>
      </c>
      <c r="D37" s="114">
        <v>1</v>
      </c>
      <c r="E37" s="114">
        <v>17</v>
      </c>
      <c r="G37" s="184">
        <v>7</v>
      </c>
      <c r="H37" s="189" t="s">
        <v>771</v>
      </c>
      <c r="I37" s="190" t="s">
        <v>772</v>
      </c>
      <c r="J37" s="191" t="s">
        <v>773</v>
      </c>
      <c r="K37" s="190" t="s">
        <v>774</v>
      </c>
      <c r="L37" s="191" t="s">
        <v>775</v>
      </c>
      <c r="M37" s="190" t="s">
        <v>776</v>
      </c>
      <c r="N37" s="191" t="s">
        <v>777</v>
      </c>
      <c r="O37" s="190" t="s">
        <v>778</v>
      </c>
      <c r="P37" s="191" t="s">
        <v>91</v>
      </c>
      <c r="Q37" s="190" t="s">
        <v>92</v>
      </c>
      <c r="R37" s="191" t="s">
        <v>779</v>
      </c>
      <c r="S37" s="190" t="s">
        <v>780</v>
      </c>
      <c r="T37" s="191" t="s">
        <v>738</v>
      </c>
      <c r="U37" s="190" t="s">
        <v>781</v>
      </c>
      <c r="V37" s="191" t="s">
        <v>782</v>
      </c>
      <c r="W37" s="190" t="s">
        <v>783</v>
      </c>
      <c r="X37" s="191" t="s">
        <v>784</v>
      </c>
      <c r="Y37" s="190" t="s">
        <v>785</v>
      </c>
      <c r="Z37" s="191" t="s">
        <v>773</v>
      </c>
      <c r="AA37" s="190" t="s">
        <v>786</v>
      </c>
      <c r="AB37" s="191" t="s">
        <v>773</v>
      </c>
      <c r="AC37" s="190" t="s">
        <v>787</v>
      </c>
      <c r="AD37" s="191" t="s">
        <v>144</v>
      </c>
      <c r="AE37" s="190" t="s">
        <v>788</v>
      </c>
      <c r="AF37" s="191" t="s">
        <v>789</v>
      </c>
      <c r="AG37" s="191" t="s">
        <v>790</v>
      </c>
      <c r="AH37" s="184"/>
      <c r="AI37" s="184"/>
      <c r="AJ37" s="184"/>
      <c r="AK37" s="184"/>
      <c r="AL37" s="184"/>
      <c r="AM37" s="184"/>
      <c r="AN37" s="184"/>
      <c r="AO37" s="184"/>
      <c r="AP37" s="184"/>
      <c r="AQ37" s="184"/>
      <c r="AR37" s="184"/>
      <c r="AS37" s="184"/>
      <c r="AT37" s="184"/>
      <c r="AU37" s="188"/>
      <c r="AW37" s="129">
        <f>IFERROR(IF(AW36+1&gt;BA26,IF(AW36+1&gt;BA26,IF(AZ27+AZ36&gt;BA27,"",AZ27+AZ36)),AW36+1),"")</f>
        <v>8</v>
      </c>
      <c r="AX37" s="129" t="str">
        <f>IFERROR(INDEX(H31:AU181,AW37,AX26),"")</f>
        <v/>
      </c>
      <c r="AY37" s="129" t="str">
        <f>IFERROR(INDEX(H31:AU181,AW37,AY26),"")</f>
        <v/>
      </c>
      <c r="AZ37" s="129">
        <f>IFERROR(IF(AW36+1&gt;BA26,AZ36+1,0),"")</f>
        <v>0</v>
      </c>
      <c r="BB37" s="129" t="e">
        <f>IF(#REF!="","",#REF!)</f>
        <v>#REF!</v>
      </c>
      <c r="BC37" s="129" t="str">
        <f>IFERROR(VLOOKUP(BB37,AX30:AY129,2,FALSE),"")</f>
        <v/>
      </c>
    </row>
    <row r="38" spans="1:55" ht="16.5" customHeight="1" x14ac:dyDescent="0.25">
      <c r="A38" s="114" t="s">
        <v>181</v>
      </c>
      <c r="B38" s="114">
        <v>19</v>
      </c>
      <c r="C38" s="114">
        <v>20</v>
      </c>
      <c r="D38" s="114">
        <v>1</v>
      </c>
      <c r="E38" s="114">
        <v>30</v>
      </c>
      <c r="G38" s="184">
        <v>8</v>
      </c>
      <c r="H38" s="189" t="s">
        <v>791</v>
      </c>
      <c r="I38" s="190" t="s">
        <v>792</v>
      </c>
      <c r="J38" s="191" t="s">
        <v>775</v>
      </c>
      <c r="K38" s="190" t="s">
        <v>793</v>
      </c>
      <c r="L38" s="191" t="s">
        <v>794</v>
      </c>
      <c r="M38" s="190" t="s">
        <v>795</v>
      </c>
      <c r="N38" s="191" t="s">
        <v>796</v>
      </c>
      <c r="O38" s="190" t="s">
        <v>797</v>
      </c>
      <c r="P38" s="191" t="s">
        <v>798</v>
      </c>
      <c r="Q38" s="190" t="s">
        <v>799</v>
      </c>
      <c r="R38" s="191" t="s">
        <v>800</v>
      </c>
      <c r="S38" s="190" t="s">
        <v>801</v>
      </c>
      <c r="T38" s="191" t="s">
        <v>713</v>
      </c>
      <c r="U38" s="190" t="s">
        <v>802</v>
      </c>
      <c r="V38" s="191" t="s">
        <v>718</v>
      </c>
      <c r="W38" s="190" t="s">
        <v>803</v>
      </c>
      <c r="X38" s="191" t="s">
        <v>804</v>
      </c>
      <c r="Y38" s="190" t="s">
        <v>805</v>
      </c>
      <c r="Z38" s="191" t="s">
        <v>775</v>
      </c>
      <c r="AA38" s="190" t="s">
        <v>806</v>
      </c>
      <c r="AB38" s="191" t="s">
        <v>775</v>
      </c>
      <c r="AC38" s="190" t="s">
        <v>807</v>
      </c>
      <c r="AD38" s="191" t="s">
        <v>777</v>
      </c>
      <c r="AE38" s="190" t="s">
        <v>808</v>
      </c>
      <c r="AF38" s="191" t="s">
        <v>150</v>
      </c>
      <c r="AG38" s="191" t="s">
        <v>809</v>
      </c>
      <c r="AH38" s="184"/>
      <c r="AI38" s="184"/>
      <c r="AJ38" s="184"/>
      <c r="AK38" s="184"/>
      <c r="AL38" s="184"/>
      <c r="AM38" s="184"/>
      <c r="AN38" s="184"/>
      <c r="AO38" s="184"/>
      <c r="AP38" s="184"/>
      <c r="AQ38" s="184"/>
      <c r="AR38" s="184"/>
      <c r="AS38" s="184"/>
      <c r="AT38" s="184"/>
      <c r="AU38" s="188"/>
      <c r="AW38" s="129">
        <f>IFERROR(IF(AW37+1&gt;BA26,IF(AW37+1&gt;BA26,IF(AZ27+AZ37&gt;BA27,"",AZ27+AZ37)),AW37+1),"")</f>
        <v>9</v>
      </c>
      <c r="AX38" s="129" t="str">
        <f>IFERROR(INDEX(H31:AU181,AW38,AX26),"")</f>
        <v/>
      </c>
      <c r="AY38" s="129" t="str">
        <f>IFERROR(INDEX(H31:AU181,AW38,AY26),"")</f>
        <v/>
      </c>
      <c r="AZ38" s="129">
        <f>IFERROR(IF(AW37+1&gt;BA26,AZ37+1,0),"")</f>
        <v>0</v>
      </c>
      <c r="BB38" s="129" t="e">
        <f>IF(#REF!="","",#REF!)</f>
        <v>#REF!</v>
      </c>
      <c r="BC38" s="129" t="str">
        <f>IFERROR(VLOOKUP(BB38,AX30:AY129,2,FALSE),"")</f>
        <v/>
      </c>
    </row>
    <row r="39" spans="1:55" ht="16.5" customHeight="1" x14ac:dyDescent="0.25">
      <c r="A39" s="114" t="s">
        <v>187</v>
      </c>
      <c r="B39" s="114">
        <v>21</v>
      </c>
      <c r="C39" s="114">
        <v>22</v>
      </c>
      <c r="D39" s="114">
        <v>1</v>
      </c>
      <c r="E39" s="114">
        <v>72</v>
      </c>
      <c r="G39" s="184">
        <v>9</v>
      </c>
      <c r="H39" s="189" t="s">
        <v>810</v>
      </c>
      <c r="I39" s="190" t="s">
        <v>811</v>
      </c>
      <c r="J39" s="191" t="s">
        <v>794</v>
      </c>
      <c r="K39" s="190" t="s">
        <v>812</v>
      </c>
      <c r="L39" s="191" t="s">
        <v>813</v>
      </c>
      <c r="M39" s="190" t="s">
        <v>814</v>
      </c>
      <c r="N39" s="191" t="s">
        <v>775</v>
      </c>
      <c r="O39" s="190" t="s">
        <v>815</v>
      </c>
      <c r="P39" s="191" t="s">
        <v>816</v>
      </c>
      <c r="Q39" s="190" t="s">
        <v>817</v>
      </c>
      <c r="R39" s="191" t="s">
        <v>818</v>
      </c>
      <c r="S39" s="190" t="s">
        <v>819</v>
      </c>
      <c r="T39" s="191" t="s">
        <v>756</v>
      </c>
      <c r="U39" s="190" t="s">
        <v>820</v>
      </c>
      <c r="V39" s="191" t="s">
        <v>738</v>
      </c>
      <c r="W39" s="190" t="s">
        <v>821</v>
      </c>
      <c r="X39" s="191" t="s">
        <v>822</v>
      </c>
      <c r="Y39" s="190" t="s">
        <v>823</v>
      </c>
      <c r="Z39" s="191" t="s">
        <v>813</v>
      </c>
      <c r="AA39" s="190" t="s">
        <v>824</v>
      </c>
      <c r="AB39" s="191" t="s">
        <v>813</v>
      </c>
      <c r="AC39" s="190" t="s">
        <v>825</v>
      </c>
      <c r="AD39" s="191" t="s">
        <v>775</v>
      </c>
      <c r="AE39" s="190" t="s">
        <v>826</v>
      </c>
      <c r="AF39" s="191" t="s">
        <v>777</v>
      </c>
      <c r="AG39" s="191" t="s">
        <v>827</v>
      </c>
      <c r="AH39" s="184"/>
      <c r="AI39" s="184"/>
      <c r="AJ39" s="184"/>
      <c r="AK39" s="184"/>
      <c r="AL39" s="184"/>
      <c r="AM39" s="184"/>
      <c r="AN39" s="184"/>
      <c r="AO39" s="184"/>
      <c r="AP39" s="184"/>
      <c r="AQ39" s="184"/>
      <c r="AR39" s="184"/>
      <c r="AS39" s="184"/>
      <c r="AT39" s="184"/>
      <c r="AU39" s="188"/>
      <c r="AW39" s="129">
        <f>IFERROR(IF(AW38+1&gt;BA26,IF(AW38+1&gt;BA26,IF(AZ27+AZ38&gt;BA27,"",AZ27+AZ38)),AW38+1),"")</f>
        <v>10</v>
      </c>
      <c r="AX39" s="129" t="str">
        <f>IFERROR(INDEX(H31:AU181,AW39,AX26),"")</f>
        <v/>
      </c>
      <c r="AY39" s="129" t="str">
        <f>IFERROR(INDEX(H31:AU181,AW39,AY26),"")</f>
        <v/>
      </c>
      <c r="AZ39" s="129">
        <f>IFERROR(IF(AW38+1&gt;BA26,AZ38+1,0),"")</f>
        <v>0</v>
      </c>
      <c r="BB39" s="129" t="e">
        <f>IF(#REF!="","",#REF!)</f>
        <v>#REF!</v>
      </c>
      <c r="BC39" s="129" t="str">
        <f>IFERROR(VLOOKUP(BB39,AX30:AY129,2,FALSE),"")</f>
        <v/>
      </c>
    </row>
    <row r="40" spans="1:55" ht="16.5" customHeight="1" x14ac:dyDescent="0.25">
      <c r="A40" s="114" t="s">
        <v>193</v>
      </c>
      <c r="B40" s="114">
        <v>23</v>
      </c>
      <c r="C40" s="114">
        <v>24</v>
      </c>
      <c r="D40" s="114">
        <v>1</v>
      </c>
      <c r="E40" s="114">
        <v>18</v>
      </c>
      <c r="G40" s="184">
        <v>10</v>
      </c>
      <c r="H40" s="189" t="s">
        <v>828</v>
      </c>
      <c r="I40" s="190" t="s">
        <v>829</v>
      </c>
      <c r="J40" s="191" t="s">
        <v>813</v>
      </c>
      <c r="K40" s="190" t="s">
        <v>830</v>
      </c>
      <c r="L40" s="191" t="s">
        <v>831</v>
      </c>
      <c r="M40" s="190" t="s">
        <v>832</v>
      </c>
      <c r="N40" s="191" t="s">
        <v>794</v>
      </c>
      <c r="O40" s="190" t="s">
        <v>833</v>
      </c>
      <c r="P40" s="191" t="s">
        <v>828</v>
      </c>
      <c r="Q40" s="190" t="s">
        <v>834</v>
      </c>
      <c r="R40" s="191" t="s">
        <v>835</v>
      </c>
      <c r="S40" s="190" t="s">
        <v>836</v>
      </c>
      <c r="T40" s="191" t="s">
        <v>775</v>
      </c>
      <c r="U40" s="190" t="s">
        <v>837</v>
      </c>
      <c r="V40" s="191" t="s">
        <v>713</v>
      </c>
      <c r="W40" s="190" t="s">
        <v>838</v>
      </c>
      <c r="X40" s="191" t="s">
        <v>828</v>
      </c>
      <c r="Y40" s="190" t="s">
        <v>839</v>
      </c>
      <c r="Z40" s="191" t="s">
        <v>840</v>
      </c>
      <c r="AA40" s="190" t="s">
        <v>841</v>
      </c>
      <c r="AB40" s="191" t="s">
        <v>842</v>
      </c>
      <c r="AC40" s="190" t="s">
        <v>843</v>
      </c>
      <c r="AD40" s="191" t="s">
        <v>794</v>
      </c>
      <c r="AE40" s="190" t="s">
        <v>844</v>
      </c>
      <c r="AF40" s="191" t="s">
        <v>775</v>
      </c>
      <c r="AG40" s="191" t="s">
        <v>845</v>
      </c>
      <c r="AH40" s="184"/>
      <c r="AI40" s="184"/>
      <c r="AJ40" s="184"/>
      <c r="AK40" s="184"/>
      <c r="AL40" s="184"/>
      <c r="AM40" s="184"/>
      <c r="AN40" s="184"/>
      <c r="AO40" s="184"/>
      <c r="AP40" s="184"/>
      <c r="AQ40" s="184"/>
      <c r="AR40" s="184"/>
      <c r="AS40" s="184"/>
      <c r="AT40" s="184"/>
      <c r="AU40" s="188"/>
      <c r="AW40" s="129">
        <f>IFERROR(IF(AW39+1&gt;BA26,IF(AW39+1&gt;BA26,IF(AZ27+AZ39&gt;BA27,"",AZ27+AZ39)),AW39+1),"")</f>
        <v>11</v>
      </c>
      <c r="AX40" s="129" t="str">
        <f>IFERROR(INDEX(H31:AU181,AW40,AX26),"")</f>
        <v/>
      </c>
      <c r="AY40" s="129" t="str">
        <f>IFERROR(INDEX(H31:AU181,AW40,AY26),"")</f>
        <v/>
      </c>
      <c r="AZ40" s="129">
        <f>IFERROR(IF(AW39+1&gt;BA26,AZ39+1,0),"")</f>
        <v>0</v>
      </c>
      <c r="BB40" s="129" t="e">
        <f>IF(#REF!="","",#REF!)</f>
        <v>#REF!</v>
      </c>
      <c r="BC40" s="129" t="str">
        <f>IFERROR(VLOOKUP(BB40,AX30:AY129,2,FALSE),"")</f>
        <v/>
      </c>
    </row>
    <row r="41" spans="1:55" ht="16.5" customHeight="1" x14ac:dyDescent="0.25">
      <c r="A41" s="192" t="s">
        <v>207</v>
      </c>
      <c r="B41" s="192">
        <v>25</v>
      </c>
      <c r="C41" s="192">
        <v>26</v>
      </c>
      <c r="D41" s="192">
        <v>1</v>
      </c>
      <c r="E41" s="192">
        <v>41</v>
      </c>
      <c r="G41" s="184">
        <v>11</v>
      </c>
      <c r="H41" s="189" t="s">
        <v>846</v>
      </c>
      <c r="I41" s="190" t="s">
        <v>847</v>
      </c>
      <c r="J41" s="191" t="s">
        <v>848</v>
      </c>
      <c r="K41" s="190" t="s">
        <v>849</v>
      </c>
      <c r="L41" s="191" t="s">
        <v>850</v>
      </c>
      <c r="M41" s="190" t="s">
        <v>851</v>
      </c>
      <c r="N41" s="191" t="s">
        <v>813</v>
      </c>
      <c r="O41" s="190" t="s">
        <v>852</v>
      </c>
      <c r="P41" s="191" t="s">
        <v>846</v>
      </c>
      <c r="Q41" s="190" t="s">
        <v>853</v>
      </c>
      <c r="R41" s="191" t="s">
        <v>854</v>
      </c>
      <c r="S41" s="190" t="s">
        <v>855</v>
      </c>
      <c r="T41" s="191" t="s">
        <v>813</v>
      </c>
      <c r="U41" s="190" t="s">
        <v>856</v>
      </c>
      <c r="V41" s="191" t="s">
        <v>813</v>
      </c>
      <c r="W41" s="190" t="s">
        <v>857</v>
      </c>
      <c r="X41" s="191" t="s">
        <v>858</v>
      </c>
      <c r="Y41" s="190" t="s">
        <v>859</v>
      </c>
      <c r="Z41" s="191" t="s">
        <v>860</v>
      </c>
      <c r="AA41" s="190" t="s">
        <v>861</v>
      </c>
      <c r="AB41" s="191" t="s">
        <v>862</v>
      </c>
      <c r="AC41" s="190" t="s">
        <v>863</v>
      </c>
      <c r="AD41" s="191" t="s">
        <v>813</v>
      </c>
      <c r="AE41" s="190" t="s">
        <v>864</v>
      </c>
      <c r="AF41" s="191" t="s">
        <v>794</v>
      </c>
      <c r="AG41" s="191" t="s">
        <v>865</v>
      </c>
      <c r="AH41" s="184"/>
      <c r="AI41" s="184"/>
      <c r="AJ41" s="184"/>
      <c r="AK41" s="184"/>
      <c r="AL41" s="184"/>
      <c r="AM41" s="184"/>
      <c r="AN41" s="184"/>
      <c r="AO41" s="184"/>
      <c r="AP41" s="184"/>
      <c r="AQ41" s="184"/>
      <c r="AR41" s="184"/>
      <c r="AS41" s="184"/>
      <c r="AT41" s="184"/>
      <c r="AU41" s="188"/>
      <c r="AW41" s="129">
        <f>IFERROR(IF(AW40+1&gt;BA26,IF(AW40+1&gt;BA26,IF(AZ27+AZ40&gt;BA27,"",AZ27+AZ40)),AW40+1),"")</f>
        <v>12</v>
      </c>
      <c r="AX41" s="129" t="str">
        <f>IFERROR(INDEX(H31:AU181,AW41,AX26),"")</f>
        <v/>
      </c>
      <c r="AY41" s="129" t="str">
        <f>IFERROR(INDEX(H31:AU181,AW41,AY26),"")</f>
        <v/>
      </c>
      <c r="AZ41" s="129">
        <f>IFERROR(IF(AW40+1&gt;BA26,AZ40+1,0),"")</f>
        <v>0</v>
      </c>
      <c r="BB41" s="129" t="e">
        <f>IF(#REF!="","",#REF!)</f>
        <v>#REF!</v>
      </c>
      <c r="BC41" s="129" t="str">
        <f>IFERROR(VLOOKUP(BB41,AX30:AY129,2,FALSE),"")</f>
        <v/>
      </c>
    </row>
    <row r="42" spans="1:55" ht="16.5" customHeight="1" x14ac:dyDescent="0.25">
      <c r="G42" s="184">
        <v>12</v>
      </c>
      <c r="H42" s="189" t="s">
        <v>866</v>
      </c>
      <c r="I42" s="190" t="s">
        <v>867</v>
      </c>
      <c r="J42" s="191" t="s">
        <v>104</v>
      </c>
      <c r="K42" s="190" t="s">
        <v>868</v>
      </c>
      <c r="L42" s="191" t="s">
        <v>869</v>
      </c>
      <c r="M42" s="190" t="s">
        <v>870</v>
      </c>
      <c r="N42" s="191" t="s">
        <v>871</v>
      </c>
      <c r="O42" s="190" t="s">
        <v>872</v>
      </c>
      <c r="P42" s="191" t="s">
        <v>873</v>
      </c>
      <c r="Q42" s="190" t="s">
        <v>874</v>
      </c>
      <c r="R42" s="191" t="s">
        <v>875</v>
      </c>
      <c r="S42" s="190" t="s">
        <v>876</v>
      </c>
      <c r="T42" s="191" t="s">
        <v>877</v>
      </c>
      <c r="U42" s="190" t="s">
        <v>878</v>
      </c>
      <c r="V42" s="191" t="s">
        <v>133</v>
      </c>
      <c r="W42" s="190" t="s">
        <v>879</v>
      </c>
      <c r="X42" s="191" t="s">
        <v>880</v>
      </c>
      <c r="Y42" s="190" t="s">
        <v>881</v>
      </c>
      <c r="Z42" s="191" t="s">
        <v>882</v>
      </c>
      <c r="AA42" s="190" t="s">
        <v>883</v>
      </c>
      <c r="AB42" s="191" t="s">
        <v>884</v>
      </c>
      <c r="AC42" s="190" t="s">
        <v>885</v>
      </c>
      <c r="AD42" s="191" t="s">
        <v>886</v>
      </c>
      <c r="AE42" s="190" t="s">
        <v>887</v>
      </c>
      <c r="AF42" s="191" t="s">
        <v>888</v>
      </c>
      <c r="AG42" s="191" t="s">
        <v>889</v>
      </c>
      <c r="AH42" s="184"/>
      <c r="AI42" s="184"/>
      <c r="AJ42" s="184"/>
      <c r="AK42" s="184"/>
      <c r="AL42" s="184"/>
      <c r="AM42" s="184"/>
      <c r="AN42" s="184"/>
      <c r="AO42" s="184"/>
      <c r="AP42" s="184"/>
      <c r="AQ42" s="184"/>
      <c r="AR42" s="184"/>
      <c r="AS42" s="184"/>
      <c r="AT42" s="184"/>
      <c r="AU42" s="188"/>
      <c r="AW42" s="129">
        <f>IFERROR(IF(AW41+1&gt;BA26,IF(AW41+1&gt;BA26,IF(AZ27+AZ41&gt;BA27,"",AZ27+AZ41)),AW41+1),"")</f>
        <v>13</v>
      </c>
      <c r="AX42" s="129" t="str">
        <f>IFERROR(INDEX(H31:AU181,AW42,AX26),"")</f>
        <v/>
      </c>
      <c r="AY42" s="129" t="str">
        <f>IFERROR(INDEX(H31:AU181,AW42,AY26),"")</f>
        <v/>
      </c>
      <c r="AZ42" s="129">
        <f>IFERROR(IF(AW41+1&gt;BA26,AZ41+1,0),"")</f>
        <v>0</v>
      </c>
      <c r="BB42" s="129" t="e">
        <f>IF(#REF!="","",#REF!)</f>
        <v>#REF!</v>
      </c>
      <c r="BC42" s="129" t="str">
        <f>IFERROR(VLOOKUP(BB42,AX30:AY129,2,FALSE),"")</f>
        <v/>
      </c>
    </row>
    <row r="43" spans="1:55" ht="16.5" customHeight="1" x14ac:dyDescent="0.25">
      <c r="A43" s="114" t="s">
        <v>561</v>
      </c>
      <c r="B43" s="114">
        <v>1</v>
      </c>
      <c r="C43" s="114">
        <v>2</v>
      </c>
      <c r="D43" s="114">
        <f>G50</f>
        <v>20</v>
      </c>
      <c r="E43" s="114">
        <f>D44-1</f>
        <v>23</v>
      </c>
      <c r="G43" s="184">
        <v>13</v>
      </c>
      <c r="H43" s="189" t="s">
        <v>890</v>
      </c>
      <c r="I43" s="190" t="s">
        <v>891</v>
      </c>
      <c r="J43" s="191" t="s">
        <v>892</v>
      </c>
      <c r="K43" s="190" t="s">
        <v>893</v>
      </c>
      <c r="L43" s="191" t="s">
        <v>894</v>
      </c>
      <c r="M43" s="190" t="s">
        <v>895</v>
      </c>
      <c r="N43" s="191" t="s">
        <v>896</v>
      </c>
      <c r="O43" s="190" t="s">
        <v>897</v>
      </c>
      <c r="P43" s="193" t="s">
        <v>898</v>
      </c>
      <c r="Q43" s="194" t="s">
        <v>899</v>
      </c>
      <c r="R43" s="191" t="s">
        <v>900</v>
      </c>
      <c r="S43" s="190" t="s">
        <v>901</v>
      </c>
      <c r="T43" s="191" t="s">
        <v>902</v>
      </c>
      <c r="U43" s="190" t="s">
        <v>903</v>
      </c>
      <c r="V43" s="191" t="s">
        <v>773</v>
      </c>
      <c r="W43" s="190" t="s">
        <v>904</v>
      </c>
      <c r="X43" s="191" t="s">
        <v>905</v>
      </c>
      <c r="Y43" s="190" t="s">
        <v>906</v>
      </c>
      <c r="Z43" s="191" t="s">
        <v>907</v>
      </c>
      <c r="AA43" s="190" t="s">
        <v>908</v>
      </c>
      <c r="AB43" s="191" t="s">
        <v>909</v>
      </c>
      <c r="AC43" s="190" t="s">
        <v>910</v>
      </c>
      <c r="AD43" s="191" t="s">
        <v>911</v>
      </c>
      <c r="AE43" s="190" t="s">
        <v>912</v>
      </c>
      <c r="AF43" s="191" t="s">
        <v>913</v>
      </c>
      <c r="AG43" s="191" t="s">
        <v>914</v>
      </c>
      <c r="AH43" s="184"/>
      <c r="AI43" s="184"/>
      <c r="AJ43" s="184"/>
      <c r="AK43" s="184"/>
      <c r="AL43" s="184"/>
      <c r="AM43" s="184"/>
      <c r="AN43" s="184"/>
      <c r="AO43" s="184"/>
      <c r="AP43" s="184"/>
      <c r="AQ43" s="184"/>
      <c r="AR43" s="184"/>
      <c r="AS43" s="184"/>
      <c r="AT43" s="184"/>
      <c r="AU43" s="188"/>
      <c r="AW43" s="129">
        <f>IFERROR(IF(AW42+1&gt;BA26,IF(AW42+1&gt;BA26,IF(AZ27+AZ42&gt;BA27,"",AZ27+AZ42)),AW42+1),"")</f>
        <v>14</v>
      </c>
      <c r="AX43" s="129" t="str">
        <f>IFERROR(INDEX(H31:AU181,AW43,AX26),"")</f>
        <v/>
      </c>
      <c r="AY43" s="129" t="str">
        <f>IFERROR(INDEX(H31:AU181,AW43,AY26),"")</f>
        <v/>
      </c>
      <c r="AZ43" s="129">
        <f>IFERROR(IF(AW42+1&gt;BA26,AZ42+1,0),"")</f>
        <v>0</v>
      </c>
      <c r="BB43" s="129" t="e">
        <f>IF(#REF!="","",#REF!)</f>
        <v>#REF!</v>
      </c>
      <c r="BC43" s="129" t="str">
        <f>IFERROR(VLOOKUP(BB43,AX30:AY129,2,FALSE),"")</f>
        <v/>
      </c>
    </row>
    <row r="44" spans="1:55" ht="16.5" customHeight="1" x14ac:dyDescent="0.25">
      <c r="A44" s="114" t="s">
        <v>562</v>
      </c>
      <c r="B44" s="114">
        <v>1</v>
      </c>
      <c r="C44" s="114">
        <v>2</v>
      </c>
      <c r="D44" s="114">
        <f>G54</f>
        <v>24</v>
      </c>
      <c r="E44" s="114">
        <f t="shared" ref="E44:E49" si="1">D45-1</f>
        <v>28</v>
      </c>
      <c r="G44" s="184">
        <v>14</v>
      </c>
      <c r="H44" s="189" t="s">
        <v>915</v>
      </c>
      <c r="I44" s="190" t="s">
        <v>916</v>
      </c>
      <c r="J44" s="191" t="s">
        <v>917</v>
      </c>
      <c r="K44" s="190" t="s">
        <v>918</v>
      </c>
      <c r="L44" s="191" t="s">
        <v>919</v>
      </c>
      <c r="M44" s="190" t="s">
        <v>920</v>
      </c>
      <c r="N44" s="191" t="s">
        <v>921</v>
      </c>
      <c r="O44" s="190" t="s">
        <v>922</v>
      </c>
      <c r="P44" s="193" t="s">
        <v>923</v>
      </c>
      <c r="Q44" s="194" t="s">
        <v>924</v>
      </c>
      <c r="R44" s="191" t="s">
        <v>925</v>
      </c>
      <c r="S44" s="190" t="s">
        <v>926</v>
      </c>
      <c r="T44" s="191" t="s">
        <v>927</v>
      </c>
      <c r="U44" s="190" t="s">
        <v>928</v>
      </c>
      <c r="V44" s="191" t="s">
        <v>929</v>
      </c>
      <c r="W44" s="190" t="s">
        <v>930</v>
      </c>
      <c r="X44" s="191" t="s">
        <v>931</v>
      </c>
      <c r="Y44" s="190" t="s">
        <v>932</v>
      </c>
      <c r="Z44" s="191" t="s">
        <v>933</v>
      </c>
      <c r="AA44" s="190" t="s">
        <v>934</v>
      </c>
      <c r="AB44" s="191" t="s">
        <v>935</v>
      </c>
      <c r="AC44" s="190" t="s">
        <v>936</v>
      </c>
      <c r="AD44" s="191" t="s">
        <v>937</v>
      </c>
      <c r="AE44" s="190" t="s">
        <v>938</v>
      </c>
      <c r="AF44" s="191" t="s">
        <v>939</v>
      </c>
      <c r="AG44" s="191" t="s">
        <v>940</v>
      </c>
      <c r="AH44" s="184"/>
      <c r="AI44" s="184"/>
      <c r="AJ44" s="184"/>
      <c r="AK44" s="184"/>
      <c r="AL44" s="184"/>
      <c r="AM44" s="184"/>
      <c r="AN44" s="184"/>
      <c r="AO44" s="184"/>
      <c r="AP44" s="184"/>
      <c r="AQ44" s="184"/>
      <c r="AR44" s="184"/>
      <c r="AS44" s="184"/>
      <c r="AT44" s="184"/>
      <c r="AU44" s="188"/>
      <c r="AW44" s="129">
        <f>IFERROR(IF(AW43+1&gt;BA26,IF(AW43+1&gt;BA26,IF(AZ27+AZ43&gt;BA27,"",AZ27+AZ43)),AW43+1),"")</f>
        <v>15</v>
      </c>
      <c r="AX44" s="129" t="str">
        <f>IFERROR(INDEX(H31:AU181,AW44,AX26),"")</f>
        <v/>
      </c>
      <c r="AY44" s="129" t="str">
        <f>IFERROR(INDEX(H31:AU181,AW44,AY26),"")</f>
        <v/>
      </c>
      <c r="AZ44" s="129">
        <f>IFERROR(IF(AW43+1&gt;BA26,AZ43+1,0),"")</f>
        <v>0</v>
      </c>
      <c r="BB44" s="129" t="e">
        <f>IF(#REF!="","",#REF!)</f>
        <v>#REF!</v>
      </c>
      <c r="BC44" s="129" t="str">
        <f>IFERROR(VLOOKUP(BB44,AX30:AY129,2,FALSE),"")</f>
        <v/>
      </c>
    </row>
    <row r="45" spans="1:55" ht="16.5" customHeight="1" x14ac:dyDescent="0.25">
      <c r="A45" s="114" t="s">
        <v>563</v>
      </c>
      <c r="B45" s="114">
        <v>1</v>
      </c>
      <c r="C45" s="114">
        <v>2</v>
      </c>
      <c r="D45" s="114">
        <f>G59</f>
        <v>29</v>
      </c>
      <c r="E45" s="114">
        <f t="shared" si="1"/>
        <v>33</v>
      </c>
      <c r="G45" s="184">
        <v>15</v>
      </c>
      <c r="H45" s="189" t="s">
        <v>941</v>
      </c>
      <c r="I45" s="190" t="s">
        <v>942</v>
      </c>
      <c r="J45" s="191" t="s">
        <v>726</v>
      </c>
      <c r="K45" s="190" t="s">
        <v>943</v>
      </c>
      <c r="L45" s="191" t="s">
        <v>944</v>
      </c>
      <c r="M45" s="190" t="s">
        <v>945</v>
      </c>
      <c r="N45" s="191" t="s">
        <v>944</v>
      </c>
      <c r="O45" s="190" t="s">
        <v>946</v>
      </c>
      <c r="P45" s="193" t="s">
        <v>947</v>
      </c>
      <c r="Q45" s="194" t="s">
        <v>948</v>
      </c>
      <c r="R45" s="191" t="s">
        <v>828</v>
      </c>
      <c r="S45" s="190" t="s">
        <v>949</v>
      </c>
      <c r="T45" s="191" t="s">
        <v>950</v>
      </c>
      <c r="U45" s="190" t="s">
        <v>951</v>
      </c>
      <c r="V45" s="191" t="s">
        <v>952</v>
      </c>
      <c r="W45" s="190" t="s">
        <v>953</v>
      </c>
      <c r="X45" s="191" t="s">
        <v>954</v>
      </c>
      <c r="Y45" s="190" t="s">
        <v>955</v>
      </c>
      <c r="Z45" s="191" t="s">
        <v>956</v>
      </c>
      <c r="AA45" s="190" t="s">
        <v>957</v>
      </c>
      <c r="AB45" s="191" t="s">
        <v>958</v>
      </c>
      <c r="AC45" s="190" t="s">
        <v>959</v>
      </c>
      <c r="AD45" s="191" t="s">
        <v>960</v>
      </c>
      <c r="AE45" s="190" t="s">
        <v>961</v>
      </c>
      <c r="AF45" s="191" t="s">
        <v>962</v>
      </c>
      <c r="AG45" s="191" t="s">
        <v>963</v>
      </c>
      <c r="AH45" s="184"/>
      <c r="AI45" s="184"/>
      <c r="AJ45" s="184"/>
      <c r="AK45" s="184"/>
      <c r="AL45" s="184"/>
      <c r="AM45" s="184"/>
      <c r="AN45" s="184"/>
      <c r="AO45" s="184"/>
      <c r="AP45" s="184"/>
      <c r="AQ45" s="184"/>
      <c r="AR45" s="184"/>
      <c r="AS45" s="184"/>
      <c r="AT45" s="184"/>
      <c r="AU45" s="188"/>
      <c r="AW45" s="129">
        <f>IFERROR(IF(AW44+1&gt;BA26,IF(AW44+1&gt;BA26,IF(AZ27+AZ44&gt;BA27,"",AZ27+AZ44)),AW44+1),"")</f>
        <v>16</v>
      </c>
      <c r="AX45" s="129" t="str">
        <f>IFERROR(INDEX(H31:AU181,AW45,AX26),"")</f>
        <v/>
      </c>
      <c r="AY45" s="129" t="str">
        <f>IFERROR(INDEX(H31:AU181,AW45,AY26),"")</f>
        <v/>
      </c>
      <c r="AZ45" s="129">
        <f>IFERROR(IF(AW44+1&gt;BA26,AZ44+1,0),"")</f>
        <v>0</v>
      </c>
      <c r="BB45" s="129" t="e">
        <f>IF(#REF!="","",#REF!)</f>
        <v>#REF!</v>
      </c>
      <c r="BC45" s="129" t="str">
        <f>IFERROR(VLOOKUP(BB45,AX30:AY129,2,FALSE),"")</f>
        <v/>
      </c>
    </row>
    <row r="46" spans="1:55" ht="16.5" customHeight="1" x14ac:dyDescent="0.25">
      <c r="A46" s="114" t="s">
        <v>564</v>
      </c>
      <c r="B46" s="114">
        <v>1</v>
      </c>
      <c r="C46" s="114">
        <v>2</v>
      </c>
      <c r="D46" s="114">
        <f>G64</f>
        <v>34</v>
      </c>
      <c r="E46" s="114">
        <f t="shared" si="1"/>
        <v>37</v>
      </c>
      <c r="G46" s="184">
        <v>16</v>
      </c>
      <c r="H46" s="189" t="s">
        <v>964</v>
      </c>
      <c r="I46" s="190" t="s">
        <v>965</v>
      </c>
      <c r="J46" s="191" t="s">
        <v>966</v>
      </c>
      <c r="K46" s="190" t="s">
        <v>967</v>
      </c>
      <c r="L46" s="191" t="s">
        <v>828</v>
      </c>
      <c r="M46" s="190" t="s">
        <v>968</v>
      </c>
      <c r="N46" s="191" t="s">
        <v>828</v>
      </c>
      <c r="O46" s="190" t="s">
        <v>968</v>
      </c>
      <c r="P46" s="193" t="s">
        <v>969</v>
      </c>
      <c r="Q46" s="194" t="s">
        <v>970</v>
      </c>
      <c r="R46" s="191" t="s">
        <v>971</v>
      </c>
      <c r="S46" s="190" t="s">
        <v>972</v>
      </c>
      <c r="T46" s="191" t="s">
        <v>869</v>
      </c>
      <c r="U46" s="190" t="s">
        <v>973</v>
      </c>
      <c r="V46" s="191" t="s">
        <v>974</v>
      </c>
      <c r="W46" s="190" t="s">
        <v>975</v>
      </c>
      <c r="X46" s="191" t="s">
        <v>976</v>
      </c>
      <c r="Y46" s="190" t="s">
        <v>977</v>
      </c>
      <c r="Z46" s="191" t="s">
        <v>978</v>
      </c>
      <c r="AA46" s="190" t="s">
        <v>979</v>
      </c>
      <c r="AB46" s="191" t="s">
        <v>980</v>
      </c>
      <c r="AC46" s="190" t="s">
        <v>981</v>
      </c>
      <c r="AD46" s="191" t="s">
        <v>828</v>
      </c>
      <c r="AE46" s="190" t="s">
        <v>982</v>
      </c>
      <c r="AF46" s="191" t="s">
        <v>983</v>
      </c>
      <c r="AG46" s="191" t="s">
        <v>984</v>
      </c>
      <c r="AH46" s="184"/>
      <c r="AI46" s="184"/>
      <c r="AJ46" s="184"/>
      <c r="AK46" s="184"/>
      <c r="AL46" s="184"/>
      <c r="AM46" s="184"/>
      <c r="AN46" s="184"/>
      <c r="AO46" s="184"/>
      <c r="AP46" s="184"/>
      <c r="AQ46" s="184"/>
      <c r="AR46" s="184"/>
      <c r="AS46" s="184"/>
      <c r="AT46" s="184"/>
      <c r="AU46" s="188"/>
      <c r="AW46" s="129">
        <f>IFERROR(IF(AW45+1&gt;BA26,IF(AW45+1&gt;BA26,IF(AZ27+AZ45&gt;BA27,"",AZ27+AZ45)),AW45+1),"")</f>
        <v>17</v>
      </c>
      <c r="AX46" s="129" t="str">
        <f>IFERROR(INDEX(H31:AU181,AW46,AX26),"")</f>
        <v/>
      </c>
      <c r="AY46" s="129" t="str">
        <f>IFERROR(INDEX(H31:AU181,AW46,AY26),"")</f>
        <v/>
      </c>
      <c r="AZ46" s="129">
        <f>IFERROR(IF(AW45+1&gt;BA26,AZ45+1,0),"")</f>
        <v>0</v>
      </c>
      <c r="BB46" s="129" t="e">
        <f>IF(#REF!="","",#REF!)</f>
        <v>#REF!</v>
      </c>
      <c r="BC46" s="129" t="str">
        <f>IFERROR(VLOOKUP(BB46,AX30:AY129,2,FALSE),"")</f>
        <v/>
      </c>
    </row>
    <row r="47" spans="1:55" ht="16.5" customHeight="1" x14ac:dyDescent="0.25">
      <c r="A47" s="114" t="s">
        <v>565</v>
      </c>
      <c r="B47" s="114">
        <v>1</v>
      </c>
      <c r="C47" s="114">
        <v>2</v>
      </c>
      <c r="D47" s="114">
        <f>G68</f>
        <v>38</v>
      </c>
      <c r="E47" s="114">
        <f t="shared" si="1"/>
        <v>41</v>
      </c>
      <c r="G47" s="184">
        <v>17</v>
      </c>
      <c r="H47" s="189" t="s">
        <v>985</v>
      </c>
      <c r="I47" s="190" t="s">
        <v>986</v>
      </c>
      <c r="J47" s="191" t="s">
        <v>987</v>
      </c>
      <c r="K47" s="190" t="s">
        <v>988</v>
      </c>
      <c r="L47" s="191" t="s">
        <v>989</v>
      </c>
      <c r="M47" s="190" t="s">
        <v>990</v>
      </c>
      <c r="N47" s="191" t="s">
        <v>991</v>
      </c>
      <c r="O47" s="190" t="s">
        <v>992</v>
      </c>
      <c r="P47" s="193" t="s">
        <v>993</v>
      </c>
      <c r="Q47" s="194" t="s">
        <v>994</v>
      </c>
      <c r="R47" s="191" t="s">
        <v>995</v>
      </c>
      <c r="S47" s="190" t="s">
        <v>996</v>
      </c>
      <c r="T47" s="191" t="s">
        <v>997</v>
      </c>
      <c r="U47" s="190" t="s">
        <v>998</v>
      </c>
      <c r="V47" s="191" t="s">
        <v>816</v>
      </c>
      <c r="W47" s="190" t="s">
        <v>999</v>
      </c>
      <c r="X47" s="191" t="s">
        <v>1000</v>
      </c>
      <c r="Y47" s="190" t="s">
        <v>1001</v>
      </c>
      <c r="Z47" s="191" t="s">
        <v>1002</v>
      </c>
      <c r="AA47" s="190" t="s">
        <v>1003</v>
      </c>
      <c r="AB47" s="191" t="s">
        <v>828</v>
      </c>
      <c r="AC47" s="190" t="s">
        <v>949</v>
      </c>
      <c r="AD47" s="191" t="s">
        <v>1004</v>
      </c>
      <c r="AE47" s="190" t="s">
        <v>1005</v>
      </c>
      <c r="AF47" s="191" t="s">
        <v>828</v>
      </c>
      <c r="AG47" s="191" t="s">
        <v>982</v>
      </c>
      <c r="AH47" s="184"/>
      <c r="AI47" s="184"/>
      <c r="AJ47" s="184"/>
      <c r="AK47" s="184"/>
      <c r="AL47" s="184"/>
      <c r="AM47" s="184"/>
      <c r="AN47" s="184"/>
      <c r="AO47" s="184"/>
      <c r="AP47" s="184"/>
      <c r="AQ47" s="184"/>
      <c r="AR47" s="184"/>
      <c r="AS47" s="184"/>
      <c r="AT47" s="184"/>
      <c r="AU47" s="188"/>
      <c r="AW47" s="129">
        <f>IFERROR(IF(AW46+1&gt;BA26,IF(AW46+1&gt;BA26,IF(AZ27+AZ46&gt;BA27,"",AZ27+AZ46)),AW46+1),"")</f>
        <v>18</v>
      </c>
      <c r="AX47" s="129" t="str">
        <f>IFERROR(INDEX(H31:AU181,AW47,AX26),"")</f>
        <v/>
      </c>
      <c r="AY47" s="129" t="str">
        <f>IFERROR(INDEX(H31:AU181,AW47,AY26),"")</f>
        <v/>
      </c>
      <c r="AZ47" s="129">
        <f>IFERROR(IF(AW46+1&gt;BA26,AZ46+1,0),"")</f>
        <v>0</v>
      </c>
      <c r="BB47" s="129" t="e">
        <f>IF(#REF!="","",#REF!)</f>
        <v>#REF!</v>
      </c>
      <c r="BC47" s="129" t="str">
        <f>IFERROR(VLOOKUP(BB47,AX30:AY129,2,FALSE),"")</f>
        <v/>
      </c>
    </row>
    <row r="48" spans="1:55" ht="16.5" customHeight="1" x14ac:dyDescent="0.25">
      <c r="A48" s="114" t="s">
        <v>566</v>
      </c>
      <c r="B48" s="114">
        <v>1</v>
      </c>
      <c r="C48" s="114">
        <v>2</v>
      </c>
      <c r="D48" s="114">
        <f>G72</f>
        <v>42</v>
      </c>
      <c r="E48" s="114">
        <f t="shared" si="1"/>
        <v>46</v>
      </c>
      <c r="G48" s="184">
        <v>18</v>
      </c>
      <c r="H48" s="189" t="s">
        <v>1006</v>
      </c>
      <c r="I48" s="190" t="s">
        <v>1007</v>
      </c>
      <c r="J48" s="191" t="s">
        <v>828</v>
      </c>
      <c r="K48" s="190" t="s">
        <v>1008</v>
      </c>
      <c r="L48" s="191" t="s">
        <v>1009</v>
      </c>
      <c r="M48" s="190" t="s">
        <v>1010</v>
      </c>
      <c r="N48" s="191" t="s">
        <v>1011</v>
      </c>
      <c r="O48" s="190" t="s">
        <v>1012</v>
      </c>
      <c r="P48" s="195" t="s">
        <v>1013</v>
      </c>
      <c r="Q48" s="196" t="s">
        <v>1014</v>
      </c>
      <c r="R48" s="191" t="s">
        <v>846</v>
      </c>
      <c r="S48" s="190" t="s">
        <v>847</v>
      </c>
      <c r="T48" s="191" t="s">
        <v>1015</v>
      </c>
      <c r="U48" s="190" t="s">
        <v>1016</v>
      </c>
      <c r="V48" s="191" t="s">
        <v>828</v>
      </c>
      <c r="W48" s="190" t="s">
        <v>982</v>
      </c>
      <c r="X48" s="193" t="s">
        <v>1017</v>
      </c>
      <c r="Y48" s="194" t="s">
        <v>1018</v>
      </c>
      <c r="Z48" s="191" t="s">
        <v>1019</v>
      </c>
      <c r="AA48" s="190" t="s">
        <v>1020</v>
      </c>
      <c r="AB48" s="191" t="s">
        <v>1021</v>
      </c>
      <c r="AC48" s="190" t="s">
        <v>1022</v>
      </c>
      <c r="AD48" s="191" t="s">
        <v>1023</v>
      </c>
      <c r="AE48" s="190" t="s">
        <v>1024</v>
      </c>
      <c r="AF48" s="191" t="s">
        <v>1025</v>
      </c>
      <c r="AG48" s="191" t="s">
        <v>1026</v>
      </c>
      <c r="AH48" s="184"/>
      <c r="AI48" s="184"/>
      <c r="AJ48" s="184"/>
      <c r="AK48" s="184"/>
      <c r="AL48" s="184"/>
      <c r="AM48" s="184"/>
      <c r="AN48" s="184"/>
      <c r="AO48" s="184"/>
      <c r="AP48" s="184"/>
      <c r="AQ48" s="184"/>
      <c r="AR48" s="184"/>
      <c r="AS48" s="184"/>
      <c r="AT48" s="184"/>
      <c r="AU48" s="188"/>
      <c r="AW48" s="129">
        <f>IFERROR(IF(AW47+1&gt;BA26,IF(AW47+1&gt;BA26,IF(AZ27+AZ47&gt;BA27,"",AZ27+AZ47)),AW47+1),"")</f>
        <v>19</v>
      </c>
      <c r="AX48" s="129" t="str">
        <f>IFERROR(INDEX(H31:AU181,AW48,AX26),"")</f>
        <v/>
      </c>
      <c r="AY48" s="129" t="str">
        <f>IFERROR(INDEX(H31:AU181,AW48,AY26),"")</f>
        <v/>
      </c>
      <c r="AZ48" s="129">
        <f>IFERROR(IF(AW47+1&gt;BA26,AZ47+1,0),"")</f>
        <v>0</v>
      </c>
      <c r="BB48" s="129" t="e">
        <f>IF(#REF!="","",#REF!)</f>
        <v>#REF!</v>
      </c>
      <c r="BC48" s="129" t="str">
        <f>IFERROR(VLOOKUP(BB48,AX30:AY129,2,FALSE),"")</f>
        <v/>
      </c>
    </row>
    <row r="49" spans="1:55" ht="16.5" customHeight="1" x14ac:dyDescent="0.25">
      <c r="A49" s="114" t="s">
        <v>567</v>
      </c>
      <c r="B49" s="114">
        <v>1</v>
      </c>
      <c r="C49" s="114">
        <v>2</v>
      </c>
      <c r="D49" s="114">
        <v>47</v>
      </c>
      <c r="E49" s="114">
        <f t="shared" si="1"/>
        <v>51</v>
      </c>
      <c r="G49" s="184">
        <v>19</v>
      </c>
      <c r="H49" s="189" t="s">
        <v>1027</v>
      </c>
      <c r="I49" s="190" t="s">
        <v>1028</v>
      </c>
      <c r="J49" s="191" t="s">
        <v>1029</v>
      </c>
      <c r="K49" s="190" t="s">
        <v>1030</v>
      </c>
      <c r="L49" s="191" t="s">
        <v>1031</v>
      </c>
      <c r="M49" s="190" t="s">
        <v>1032</v>
      </c>
      <c r="N49" s="191" t="s">
        <v>1033</v>
      </c>
      <c r="O49" s="190" t="s">
        <v>1034</v>
      </c>
      <c r="P49" s="195" t="s">
        <v>1035</v>
      </c>
      <c r="Q49" s="196" t="s">
        <v>1036</v>
      </c>
      <c r="R49" s="191" t="s">
        <v>1037</v>
      </c>
      <c r="S49" s="190" t="s">
        <v>1038</v>
      </c>
      <c r="T49" s="191" t="s">
        <v>828</v>
      </c>
      <c r="U49" s="190" t="s">
        <v>968</v>
      </c>
      <c r="V49" s="191" t="s">
        <v>846</v>
      </c>
      <c r="W49" s="190" t="s">
        <v>847</v>
      </c>
      <c r="X49" s="193" t="s">
        <v>1039</v>
      </c>
      <c r="Y49" s="194" t="s">
        <v>1040</v>
      </c>
      <c r="Z49" s="191" t="s">
        <v>1041</v>
      </c>
      <c r="AA49" s="190" t="s">
        <v>1042</v>
      </c>
      <c r="AB49" s="191" t="s">
        <v>1043</v>
      </c>
      <c r="AC49" s="190" t="s">
        <v>1044</v>
      </c>
      <c r="AD49" s="193" t="s">
        <v>1045</v>
      </c>
      <c r="AE49" s="194" t="s">
        <v>1046</v>
      </c>
      <c r="AF49" s="191" t="s">
        <v>1047</v>
      </c>
      <c r="AG49" s="191" t="s">
        <v>1048</v>
      </c>
      <c r="AH49" s="184"/>
      <c r="AI49" s="184"/>
      <c r="AJ49" s="184"/>
      <c r="AK49" s="184"/>
      <c r="AL49" s="184"/>
      <c r="AM49" s="184"/>
      <c r="AN49" s="184"/>
      <c r="AO49" s="184"/>
      <c r="AP49" s="184"/>
      <c r="AQ49" s="184"/>
      <c r="AR49" s="184"/>
      <c r="AS49" s="184"/>
      <c r="AT49" s="184"/>
      <c r="AU49" s="188"/>
      <c r="AW49" s="129">
        <f>IFERROR(IF(AW48+1&gt;BA26,IF(AW48+1&gt;BA26,IF(AZ27+AZ48&gt;BA27,"",AZ27+AZ48)),AW48+1),"")</f>
        <v>20</v>
      </c>
      <c r="AX49" s="129" t="str">
        <f>IFERROR(INDEX(H31:AU181,AW49,AX26),"")</f>
        <v/>
      </c>
      <c r="AY49" s="129" t="str">
        <f>IFERROR(INDEX(H31:AU181,AW49,AY26),"")</f>
        <v/>
      </c>
      <c r="AZ49" s="129">
        <f>IFERROR(IF(AW48+1&gt;BA26,AZ48+1,0),"")</f>
        <v>0</v>
      </c>
      <c r="BB49" s="129" t="e">
        <f>IF(#REF!="","",#REF!)</f>
        <v>#REF!</v>
      </c>
      <c r="BC49" s="129" t="str">
        <f>IFERROR(VLOOKUP(BB49,AX30:AY129,2,FALSE),"")</f>
        <v/>
      </c>
    </row>
    <row r="50" spans="1:55" ht="16.5" customHeight="1" x14ac:dyDescent="0.25">
      <c r="A50" s="114" t="s">
        <v>568</v>
      </c>
      <c r="B50" s="114">
        <v>1</v>
      </c>
      <c r="C50" s="114">
        <v>2</v>
      </c>
      <c r="D50" s="114">
        <v>52</v>
      </c>
      <c r="E50" s="114">
        <v>56</v>
      </c>
      <c r="G50" s="184">
        <v>20</v>
      </c>
      <c r="H50" s="197" t="s">
        <v>1049</v>
      </c>
      <c r="I50" s="194" t="s">
        <v>1050</v>
      </c>
      <c r="J50" s="191" t="s">
        <v>1051</v>
      </c>
      <c r="K50" s="190" t="s">
        <v>1052</v>
      </c>
      <c r="L50" s="193" t="s">
        <v>1053</v>
      </c>
      <c r="M50" s="194" t="s">
        <v>1054</v>
      </c>
      <c r="N50" s="193" t="s">
        <v>1055</v>
      </c>
      <c r="O50" s="194" t="s">
        <v>1056</v>
      </c>
      <c r="P50" s="195" t="s">
        <v>1057</v>
      </c>
      <c r="Q50" s="196" t="s">
        <v>1058</v>
      </c>
      <c r="R50" s="191" t="s">
        <v>1059</v>
      </c>
      <c r="S50" s="190" t="s">
        <v>1060</v>
      </c>
      <c r="T50" s="191" t="s">
        <v>846</v>
      </c>
      <c r="U50" s="190" t="s">
        <v>1061</v>
      </c>
      <c r="V50" s="191" t="s">
        <v>1062</v>
      </c>
      <c r="W50" s="190" t="s">
        <v>1063</v>
      </c>
      <c r="X50" s="193" t="s">
        <v>1064</v>
      </c>
      <c r="Y50" s="194" t="s">
        <v>1065</v>
      </c>
      <c r="Z50" s="191" t="s">
        <v>1066</v>
      </c>
      <c r="AA50" s="190" t="s">
        <v>1067</v>
      </c>
      <c r="AB50" s="187" t="s">
        <v>1068</v>
      </c>
      <c r="AC50" s="186" t="s">
        <v>1069</v>
      </c>
      <c r="AD50" s="193" t="s">
        <v>1070</v>
      </c>
      <c r="AE50" s="194" t="s">
        <v>1071</v>
      </c>
      <c r="AF50" s="191" t="s">
        <v>1072</v>
      </c>
      <c r="AG50" s="191" t="s">
        <v>1073</v>
      </c>
      <c r="AH50" s="184"/>
      <c r="AI50" s="184"/>
      <c r="AJ50" s="184"/>
      <c r="AK50" s="184"/>
      <c r="AL50" s="184"/>
      <c r="AM50" s="184"/>
      <c r="AN50" s="184"/>
      <c r="AO50" s="184"/>
      <c r="AP50" s="184"/>
      <c r="AQ50" s="184"/>
      <c r="AR50" s="184"/>
      <c r="AS50" s="184"/>
      <c r="AT50" s="184"/>
      <c r="AU50" s="188"/>
      <c r="AW50" s="129">
        <f>IFERROR(IF(AW49+1&gt;BA26,IF(AW49+1&gt;BA26,IF(AZ27+AZ49&gt;BA27,"",AZ27+AZ49)),AW49+1),"")</f>
        <v>21</v>
      </c>
      <c r="AX50" s="129" t="str">
        <f>IFERROR(INDEX(H31:AU181,AW50,AX26),"")</f>
        <v/>
      </c>
      <c r="AY50" s="129" t="str">
        <f>IFERROR(INDEX(H31:AU181,AW50,AY26),"")</f>
        <v/>
      </c>
      <c r="AZ50" s="129">
        <f>IFERROR(IF(AW49+1&gt;BA26,AZ49+1,0),"")</f>
        <v>0</v>
      </c>
      <c r="BB50" s="129" t="e">
        <f>IF(#REF!="","",#REF!)</f>
        <v>#REF!</v>
      </c>
      <c r="BC50" s="129" t="str">
        <f>IFERROR(VLOOKUP(BB50,AX30:AY129,2,FALSE),"")</f>
        <v/>
      </c>
    </row>
    <row r="51" spans="1:55" ht="16.5" customHeight="1" x14ac:dyDescent="0.25">
      <c r="A51" s="114" t="s">
        <v>569</v>
      </c>
      <c r="B51" s="114">
        <v>1</v>
      </c>
      <c r="C51" s="114">
        <v>2</v>
      </c>
      <c r="D51" s="114">
        <v>57</v>
      </c>
      <c r="E51" s="114">
        <v>61</v>
      </c>
      <c r="G51" s="184">
        <v>21</v>
      </c>
      <c r="H51" s="197" t="s">
        <v>1074</v>
      </c>
      <c r="I51" s="194" t="s">
        <v>1075</v>
      </c>
      <c r="J51" s="191" t="s">
        <v>1076</v>
      </c>
      <c r="K51" s="190" t="s">
        <v>1077</v>
      </c>
      <c r="L51" s="193" t="s">
        <v>1078</v>
      </c>
      <c r="M51" s="194" t="s">
        <v>1079</v>
      </c>
      <c r="N51" s="193" t="s">
        <v>1080</v>
      </c>
      <c r="O51" s="194" t="s">
        <v>1081</v>
      </c>
      <c r="P51" s="195" t="s">
        <v>1082</v>
      </c>
      <c r="Q51" s="196" t="s">
        <v>1083</v>
      </c>
      <c r="R51" s="191" t="s">
        <v>1084</v>
      </c>
      <c r="S51" s="190" t="s">
        <v>1085</v>
      </c>
      <c r="T51" s="191" t="s">
        <v>1086</v>
      </c>
      <c r="U51" s="190" t="s">
        <v>1087</v>
      </c>
      <c r="V51" s="191" t="s">
        <v>1088</v>
      </c>
      <c r="W51" s="190" t="s">
        <v>1089</v>
      </c>
      <c r="X51" s="193" t="s">
        <v>1090</v>
      </c>
      <c r="Y51" s="194" t="s">
        <v>1091</v>
      </c>
      <c r="Z51" s="191" t="s">
        <v>1092</v>
      </c>
      <c r="AA51" s="190" t="s">
        <v>1093</v>
      </c>
      <c r="AB51" s="187" t="s">
        <v>1094</v>
      </c>
      <c r="AC51" s="186" t="s">
        <v>1095</v>
      </c>
      <c r="AD51" s="193" t="s">
        <v>1096</v>
      </c>
      <c r="AE51" s="194" t="s">
        <v>1097</v>
      </c>
      <c r="AF51" s="191" t="s">
        <v>1098</v>
      </c>
      <c r="AG51" s="191" t="s">
        <v>1099</v>
      </c>
      <c r="AH51" s="184"/>
      <c r="AI51" s="184"/>
      <c r="AJ51" s="184"/>
      <c r="AK51" s="184"/>
      <c r="AL51" s="184"/>
      <c r="AM51" s="184"/>
      <c r="AN51" s="184"/>
      <c r="AO51" s="184"/>
      <c r="AP51" s="184"/>
      <c r="AQ51" s="184"/>
      <c r="AR51" s="184"/>
      <c r="AS51" s="184"/>
      <c r="AT51" s="184"/>
      <c r="AU51" s="188"/>
      <c r="AW51" s="129">
        <f>IFERROR(IF(AW50+1&gt;BA26,IF(AW50+1&gt;BA26,IF(AZ27+AZ50&gt;BA27,"",AZ27+AZ50)),AW50+1),"")</f>
        <v>22</v>
      </c>
      <c r="AX51" s="129" t="str">
        <f>IFERROR(INDEX(H31:AU181,AW51,AX26),"")</f>
        <v/>
      </c>
      <c r="AY51" s="129" t="str">
        <f>IFERROR(INDEX(H31:AU181,AW51,AY26),"")</f>
        <v/>
      </c>
      <c r="AZ51" s="129">
        <f>IFERROR(IF(AW50+1&gt;BA26,AZ50+1,0),"")</f>
        <v>0</v>
      </c>
      <c r="BB51" s="129" t="e">
        <f>IF(#REF!="","",#REF!)</f>
        <v>#REF!</v>
      </c>
      <c r="BC51" s="129" t="str">
        <f>IFERROR(VLOOKUP(BB51,AX30:AY129,2,FALSE),"")</f>
        <v/>
      </c>
    </row>
    <row r="52" spans="1:55" ht="16.5" customHeight="1" x14ac:dyDescent="0.25">
      <c r="A52" s="198" t="s">
        <v>570</v>
      </c>
      <c r="B52" s="198">
        <v>3</v>
      </c>
      <c r="C52" s="198">
        <v>4</v>
      </c>
      <c r="D52" s="198">
        <v>23</v>
      </c>
      <c r="E52" s="198">
        <v>26</v>
      </c>
      <c r="G52" s="184">
        <v>22</v>
      </c>
      <c r="H52" s="197" t="s">
        <v>1100</v>
      </c>
      <c r="I52" s="194" t="s">
        <v>1101</v>
      </c>
      <c r="J52" s="191" t="s">
        <v>1102</v>
      </c>
      <c r="K52" s="190" t="s">
        <v>1103</v>
      </c>
      <c r="L52" s="193" t="s">
        <v>1104</v>
      </c>
      <c r="M52" s="194" t="s">
        <v>1105</v>
      </c>
      <c r="N52" s="193" t="s">
        <v>1106</v>
      </c>
      <c r="O52" s="194" t="s">
        <v>1107</v>
      </c>
      <c r="P52" s="195" t="s">
        <v>1108</v>
      </c>
      <c r="Q52" s="196" t="s">
        <v>1109</v>
      </c>
      <c r="R52" s="191" t="s">
        <v>880</v>
      </c>
      <c r="S52" s="190" t="s">
        <v>1110</v>
      </c>
      <c r="T52" s="191" t="s">
        <v>1111</v>
      </c>
      <c r="U52" s="190" t="s">
        <v>1112</v>
      </c>
      <c r="V52" s="191" t="s">
        <v>1113</v>
      </c>
      <c r="W52" s="190" t="s">
        <v>1114</v>
      </c>
      <c r="X52" s="193" t="s">
        <v>1115</v>
      </c>
      <c r="Y52" s="194" t="s">
        <v>1116</v>
      </c>
      <c r="Z52" s="191" t="s">
        <v>1117</v>
      </c>
      <c r="AA52" s="190" t="s">
        <v>1118</v>
      </c>
      <c r="AB52" s="187" t="s">
        <v>1119</v>
      </c>
      <c r="AC52" s="186" t="s">
        <v>1120</v>
      </c>
      <c r="AD52" s="193" t="s">
        <v>1121</v>
      </c>
      <c r="AE52" s="194" t="s">
        <v>1122</v>
      </c>
      <c r="AF52" s="191" t="s">
        <v>1123</v>
      </c>
      <c r="AG52" s="191" t="s">
        <v>1124</v>
      </c>
      <c r="AH52" s="184"/>
      <c r="AI52" s="184"/>
      <c r="AJ52" s="184"/>
      <c r="AK52" s="184"/>
      <c r="AL52" s="184"/>
      <c r="AM52" s="184"/>
      <c r="AN52" s="184"/>
      <c r="AO52" s="184"/>
      <c r="AP52" s="184"/>
      <c r="AQ52" s="184"/>
      <c r="AR52" s="184"/>
      <c r="AS52" s="184"/>
      <c r="AT52" s="184"/>
      <c r="AU52" s="188"/>
      <c r="AW52" s="129">
        <f>IFERROR(IF(AW51+1&gt;BA26,IF(AW51+1&gt;BA26,IF(AZ27+AZ51&gt;BA27,"",AZ27+AZ51)),AW51+1),"")</f>
        <v>23</v>
      </c>
      <c r="AX52" s="129" t="str">
        <f>IFERROR(INDEX(H31:AU181,AW52,AX26),"")</f>
        <v/>
      </c>
      <c r="AY52" s="129" t="str">
        <f>IFERROR(INDEX(H31:AU181,AW52,AY26),"")</f>
        <v/>
      </c>
      <c r="AZ52" s="129">
        <f>IFERROR(IF(AW51+1&gt;BA26,AZ51+1,0),"")</f>
        <v>0</v>
      </c>
      <c r="BB52" s="129" t="e">
        <f>IF(#REF!="","",#REF!)</f>
        <v>#REF!</v>
      </c>
      <c r="BC52" s="129" t="str">
        <f>IFERROR(VLOOKUP(BB52,AX30:AY129,2,FALSE),"")</f>
        <v/>
      </c>
    </row>
    <row r="53" spans="1:55" ht="16.5" customHeight="1" x14ac:dyDescent="0.25">
      <c r="A53" s="114" t="s">
        <v>571</v>
      </c>
      <c r="B53" s="114">
        <v>3</v>
      </c>
      <c r="C53" s="114">
        <v>4</v>
      </c>
      <c r="D53" s="114">
        <v>27</v>
      </c>
      <c r="E53" s="114">
        <v>30</v>
      </c>
      <c r="G53" s="184">
        <v>23</v>
      </c>
      <c r="H53" s="197" t="s">
        <v>1125</v>
      </c>
      <c r="I53" s="194" t="s">
        <v>1126</v>
      </c>
      <c r="J53" s="193" t="s">
        <v>1127</v>
      </c>
      <c r="K53" s="194" t="s">
        <v>1128</v>
      </c>
      <c r="L53" s="193" t="s">
        <v>1129</v>
      </c>
      <c r="M53" s="194" t="s">
        <v>1130</v>
      </c>
      <c r="N53" s="193" t="s">
        <v>1062</v>
      </c>
      <c r="O53" s="194" t="s">
        <v>1131</v>
      </c>
      <c r="P53" s="195" t="s">
        <v>1132</v>
      </c>
      <c r="Q53" s="196" t="s">
        <v>1133</v>
      </c>
      <c r="R53" s="191" t="s">
        <v>1134</v>
      </c>
      <c r="S53" s="190" t="s">
        <v>1135</v>
      </c>
      <c r="T53" s="191" t="s">
        <v>1136</v>
      </c>
      <c r="U53" s="190" t="s">
        <v>1137</v>
      </c>
      <c r="V53" s="191" t="s">
        <v>1138</v>
      </c>
      <c r="W53" s="190" t="s">
        <v>1139</v>
      </c>
      <c r="X53" s="195" t="s">
        <v>1127</v>
      </c>
      <c r="Y53" s="196" t="s">
        <v>1140</v>
      </c>
      <c r="Z53" s="191" t="s">
        <v>1141</v>
      </c>
      <c r="AA53" s="190" t="s">
        <v>1142</v>
      </c>
      <c r="AB53" s="187" t="s">
        <v>1143</v>
      </c>
      <c r="AC53" s="186" t="s">
        <v>1144</v>
      </c>
      <c r="AD53" s="193" t="s">
        <v>1145</v>
      </c>
      <c r="AE53" s="194" t="s">
        <v>1146</v>
      </c>
      <c r="AF53" s="191" t="s">
        <v>1147</v>
      </c>
      <c r="AG53" s="191" t="s">
        <v>1148</v>
      </c>
      <c r="AH53" s="184"/>
      <c r="AI53" s="184"/>
      <c r="AJ53" s="184"/>
      <c r="AK53" s="184"/>
      <c r="AL53" s="184"/>
      <c r="AM53" s="184"/>
      <c r="AN53" s="184"/>
      <c r="AO53" s="184"/>
      <c r="AP53" s="184"/>
      <c r="AQ53" s="184"/>
      <c r="AR53" s="184"/>
      <c r="AS53" s="184"/>
      <c r="AT53" s="184"/>
      <c r="AU53" s="188"/>
      <c r="AW53" s="129">
        <f>IFERROR(IF(AW52+1&gt;BA26,IF(AW52+1&gt;BA26,IF(AZ27+AZ52&gt;BA27,"",AZ27+AZ52)),AW52+1),"")</f>
        <v>24</v>
      </c>
      <c r="AX53" s="129" t="str">
        <f>IFERROR(INDEX(H31:AU181,AW53,AX26),"")</f>
        <v/>
      </c>
      <c r="AY53" s="129" t="str">
        <f>IFERROR(INDEX(H31:AU181,AW53,AY26),"")</f>
        <v/>
      </c>
      <c r="AZ53" s="129">
        <f>IFERROR(IF(AW52+1&gt;BA26,AZ52+1,0),"")</f>
        <v>0</v>
      </c>
      <c r="BB53" s="129" t="e">
        <f>IF(#REF!="","",#REF!)</f>
        <v>#REF!</v>
      </c>
      <c r="BC53" s="129" t="str">
        <f>IFERROR(VLOOKUP(BB53,AX30:AY129,2,FALSE),"")</f>
        <v/>
      </c>
    </row>
    <row r="54" spans="1:55" ht="16.5" customHeight="1" x14ac:dyDescent="0.25">
      <c r="A54" s="114" t="s">
        <v>572</v>
      </c>
      <c r="B54" s="114">
        <v>3</v>
      </c>
      <c r="C54" s="114">
        <v>4</v>
      </c>
      <c r="D54" s="114">
        <v>31</v>
      </c>
      <c r="E54" s="114">
        <v>34</v>
      </c>
      <c r="G54" s="184">
        <v>24</v>
      </c>
      <c r="H54" s="199" t="s">
        <v>1149</v>
      </c>
      <c r="I54" s="196" t="s">
        <v>1150</v>
      </c>
      <c r="J54" s="193" t="s">
        <v>1151</v>
      </c>
      <c r="K54" s="194" t="s">
        <v>1152</v>
      </c>
      <c r="L54" s="193" t="s">
        <v>1153</v>
      </c>
      <c r="M54" s="194" t="s">
        <v>1154</v>
      </c>
      <c r="N54" s="193" t="s">
        <v>1155</v>
      </c>
      <c r="O54" s="194" t="s">
        <v>1156</v>
      </c>
      <c r="P54" s="195" t="s">
        <v>1157</v>
      </c>
      <c r="Q54" s="196" t="s">
        <v>1158</v>
      </c>
      <c r="R54" s="191" t="s">
        <v>1159</v>
      </c>
      <c r="S54" s="190" t="s">
        <v>1160</v>
      </c>
      <c r="T54" s="191" t="s">
        <v>1161</v>
      </c>
      <c r="U54" s="190" t="s">
        <v>1162</v>
      </c>
      <c r="V54" s="191" t="s">
        <v>1163</v>
      </c>
      <c r="W54" s="190" t="s">
        <v>1164</v>
      </c>
      <c r="X54" s="195" t="s">
        <v>1165</v>
      </c>
      <c r="Y54" s="196" t="s">
        <v>1166</v>
      </c>
      <c r="Z54" s="191" t="s">
        <v>1167</v>
      </c>
      <c r="AA54" s="190" t="s">
        <v>1168</v>
      </c>
      <c r="AB54" s="187" t="s">
        <v>1169</v>
      </c>
      <c r="AC54" s="186" t="s">
        <v>1170</v>
      </c>
      <c r="AD54" s="195" t="s">
        <v>1171</v>
      </c>
      <c r="AE54" s="196" t="s">
        <v>1172</v>
      </c>
      <c r="AF54" s="191" t="s">
        <v>1173</v>
      </c>
      <c r="AG54" s="191" t="s">
        <v>1174</v>
      </c>
      <c r="AH54" s="184"/>
      <c r="AI54" s="184"/>
      <c r="AJ54" s="184"/>
      <c r="AK54" s="184"/>
      <c r="AL54" s="184"/>
      <c r="AM54" s="184"/>
      <c r="AN54" s="184"/>
      <c r="AO54" s="184"/>
      <c r="AP54" s="184"/>
      <c r="AQ54" s="184"/>
      <c r="AR54" s="184"/>
      <c r="AS54" s="184"/>
      <c r="AT54" s="184"/>
      <c r="AU54" s="188"/>
      <c r="AW54" s="129">
        <f>IFERROR(IF(AW53+1&gt;BA26,IF(AW53+1&gt;BA26,IF(AZ27+AZ53&gt;BA27,"",AZ27+AZ53)),AW53+1),"")</f>
        <v>25</v>
      </c>
      <c r="AX54" s="129" t="str">
        <f>IFERROR(INDEX(H31:AU181,AW54,AX26),"")</f>
        <v/>
      </c>
      <c r="AY54" s="129" t="str">
        <f>IFERROR(INDEX(H31:AU181,AW54,AY26),"")</f>
        <v/>
      </c>
      <c r="AZ54" s="129">
        <f>IFERROR(IF(AW53+1&gt;BA26,AZ53+1,0),"")</f>
        <v>0</v>
      </c>
      <c r="BB54" s="129" t="e">
        <f>IF(#REF!="","",#REF!)</f>
        <v>#REF!</v>
      </c>
      <c r="BC54" s="129" t="str">
        <f>IFERROR(VLOOKUP(BB54,AX30:AY129,2,FALSE),"")</f>
        <v/>
      </c>
    </row>
    <row r="55" spans="1:55" ht="16.5" customHeight="1" x14ac:dyDescent="0.25">
      <c r="A55" s="114" t="s">
        <v>573</v>
      </c>
      <c r="B55" s="114">
        <v>3</v>
      </c>
      <c r="C55" s="114">
        <v>4</v>
      </c>
      <c r="D55" s="114">
        <v>35</v>
      </c>
      <c r="E55" s="114">
        <v>39</v>
      </c>
      <c r="G55" s="184">
        <v>25</v>
      </c>
      <c r="H55" s="199" t="s">
        <v>1175</v>
      </c>
      <c r="I55" s="196" t="s">
        <v>1176</v>
      </c>
      <c r="J55" s="193" t="s">
        <v>1177</v>
      </c>
      <c r="K55" s="194" t="s">
        <v>1178</v>
      </c>
      <c r="L55" s="193" t="s">
        <v>1179</v>
      </c>
      <c r="M55" s="194" t="s">
        <v>1180</v>
      </c>
      <c r="N55" s="193" t="s">
        <v>1181</v>
      </c>
      <c r="O55" s="194" t="s">
        <v>1182</v>
      </c>
      <c r="P55" s="195" t="s">
        <v>1183</v>
      </c>
      <c r="Q55" s="196" t="s">
        <v>1184</v>
      </c>
      <c r="R55" s="191" t="s">
        <v>1185</v>
      </c>
      <c r="S55" s="190" t="s">
        <v>1186</v>
      </c>
      <c r="T55" s="193" t="s">
        <v>1187</v>
      </c>
      <c r="U55" s="194" t="s">
        <v>1188</v>
      </c>
      <c r="V55" s="191" t="s">
        <v>1189</v>
      </c>
      <c r="W55" s="190" t="s">
        <v>1190</v>
      </c>
      <c r="X55" s="195" t="s">
        <v>1191</v>
      </c>
      <c r="Y55" s="196" t="s">
        <v>1192</v>
      </c>
      <c r="Z55" s="191" t="s">
        <v>1193</v>
      </c>
      <c r="AA55" s="190" t="s">
        <v>1194</v>
      </c>
      <c r="AB55" s="187" t="s">
        <v>1195</v>
      </c>
      <c r="AC55" s="186" t="s">
        <v>1196</v>
      </c>
      <c r="AD55" s="195" t="s">
        <v>1197</v>
      </c>
      <c r="AE55" s="196" t="s">
        <v>1198</v>
      </c>
      <c r="AF55" s="193" t="s">
        <v>1199</v>
      </c>
      <c r="AG55" s="193" t="s">
        <v>1200</v>
      </c>
      <c r="AH55" s="184"/>
      <c r="AI55" s="184"/>
      <c r="AJ55" s="184"/>
      <c r="AK55" s="184"/>
      <c r="AL55" s="184"/>
      <c r="AM55" s="184"/>
      <c r="AN55" s="184"/>
      <c r="AO55" s="184"/>
      <c r="AP55" s="184"/>
      <c r="AQ55" s="184"/>
      <c r="AR55" s="184"/>
      <c r="AS55" s="184"/>
      <c r="AT55" s="184"/>
      <c r="AU55" s="188"/>
      <c r="AW55" s="129">
        <f>IFERROR(IF(AW54+1&gt;BA26,IF(AW54+1&gt;BA26,IF(AZ27+AZ54&gt;BA27,"",AZ27+AZ54)),AW54+1),"")</f>
        <v>26</v>
      </c>
      <c r="AX55" s="129" t="str">
        <f>IFERROR(INDEX(H31:AU181,AW55,AX26),"")</f>
        <v/>
      </c>
      <c r="AY55" s="129" t="str">
        <f>IFERROR(INDEX(H31:AU181,AW55,AY26),"")</f>
        <v/>
      </c>
      <c r="AZ55" s="129">
        <f>IFERROR(IF(AW54+1&gt;BA26,AZ54+1,0),"")</f>
        <v>0</v>
      </c>
      <c r="BB55" s="129" t="e">
        <f>IF(#REF!="","",#REF!)</f>
        <v>#REF!</v>
      </c>
      <c r="BC55" s="129" t="str">
        <f>IFERROR(VLOOKUP(BB55,AX30:AY129,2,FALSE),"")</f>
        <v/>
      </c>
    </row>
    <row r="56" spans="1:55" ht="16.5" customHeight="1" x14ac:dyDescent="0.25">
      <c r="A56" s="114" t="s">
        <v>574</v>
      </c>
      <c r="B56" s="114">
        <v>3</v>
      </c>
      <c r="C56" s="114">
        <v>4</v>
      </c>
      <c r="D56" s="114">
        <v>40</v>
      </c>
      <c r="E56" s="114">
        <v>43</v>
      </c>
      <c r="G56" s="184">
        <v>26</v>
      </c>
      <c r="H56" s="199" t="s">
        <v>1201</v>
      </c>
      <c r="I56" s="196" t="s">
        <v>1202</v>
      </c>
      <c r="J56" s="193" t="s">
        <v>1203</v>
      </c>
      <c r="K56" s="194" t="s">
        <v>1204</v>
      </c>
      <c r="L56" s="195" t="s">
        <v>1205</v>
      </c>
      <c r="M56" s="196" t="s">
        <v>1206</v>
      </c>
      <c r="N56" s="195" t="s">
        <v>1207</v>
      </c>
      <c r="O56" s="196" t="s">
        <v>1208</v>
      </c>
      <c r="P56" s="195" t="s">
        <v>1209</v>
      </c>
      <c r="Q56" s="196" t="s">
        <v>1210</v>
      </c>
      <c r="R56" s="191" t="s">
        <v>1211</v>
      </c>
      <c r="S56" s="190" t="s">
        <v>1212</v>
      </c>
      <c r="T56" s="193" t="s">
        <v>1213</v>
      </c>
      <c r="U56" s="194" t="s">
        <v>1214</v>
      </c>
      <c r="V56" s="193" t="s">
        <v>1215</v>
      </c>
      <c r="W56" s="194" t="s">
        <v>1216</v>
      </c>
      <c r="X56" s="195" t="s">
        <v>1217</v>
      </c>
      <c r="Y56" s="196" t="s">
        <v>1218</v>
      </c>
      <c r="Z56" s="191" t="s">
        <v>1219</v>
      </c>
      <c r="AA56" s="190" t="s">
        <v>1220</v>
      </c>
      <c r="AB56" s="187" t="s">
        <v>1221</v>
      </c>
      <c r="AC56" s="186" t="s">
        <v>1222</v>
      </c>
      <c r="AD56" s="195" t="s">
        <v>1223</v>
      </c>
      <c r="AE56" s="196" t="s">
        <v>1224</v>
      </c>
      <c r="AF56" s="193" t="s">
        <v>1225</v>
      </c>
      <c r="AG56" s="193" t="s">
        <v>1226</v>
      </c>
      <c r="AH56" s="184"/>
      <c r="AI56" s="184"/>
      <c r="AJ56" s="184"/>
      <c r="AK56" s="184"/>
      <c r="AL56" s="184"/>
      <c r="AM56" s="184"/>
      <c r="AN56" s="184"/>
      <c r="AO56" s="184"/>
      <c r="AP56" s="184"/>
      <c r="AQ56" s="184"/>
      <c r="AR56" s="184"/>
      <c r="AS56" s="184"/>
      <c r="AT56" s="184"/>
      <c r="AU56" s="188"/>
      <c r="AW56" s="129">
        <f>IFERROR(IF(AW55+1&gt;BA26,IF(AW55+1&gt;BA26,IF(AZ27+AZ55&gt;BA27,"",AZ27+AZ55)),AW55+1),"")</f>
        <v>27</v>
      </c>
      <c r="AX56" s="129" t="str">
        <f>IFERROR(INDEX(H31:AU181,AW56,AX26),"")</f>
        <v/>
      </c>
      <c r="AY56" s="129" t="str">
        <f>IFERROR(INDEX(H31:AU181,AW56,AY26),"")</f>
        <v/>
      </c>
      <c r="AZ56" s="129">
        <f>IFERROR(IF(AW55+1&gt;BA26,AZ55+1,0),"")</f>
        <v>0</v>
      </c>
      <c r="BB56" s="129" t="e">
        <f>IF(#REF!="","",#REF!)</f>
        <v>#REF!</v>
      </c>
      <c r="BC56" s="129" t="str">
        <f>IFERROR(VLOOKUP(BB56,AX30:AY129,2,FALSE),"")</f>
        <v/>
      </c>
    </row>
    <row r="57" spans="1:55" ht="16.5" customHeight="1" x14ac:dyDescent="0.25">
      <c r="A57" s="114" t="s">
        <v>575</v>
      </c>
      <c r="B57" s="114">
        <v>3</v>
      </c>
      <c r="C57" s="114">
        <v>4</v>
      </c>
      <c r="D57" s="114">
        <v>44</v>
      </c>
      <c r="E57" s="114">
        <v>47</v>
      </c>
      <c r="G57" s="184">
        <v>27</v>
      </c>
      <c r="H57" s="199" t="s">
        <v>1227</v>
      </c>
      <c r="I57" s="196" t="s">
        <v>1228</v>
      </c>
      <c r="J57" s="200" t="s">
        <v>1127</v>
      </c>
      <c r="K57" s="196" t="s">
        <v>1229</v>
      </c>
      <c r="L57" s="195" t="s">
        <v>1127</v>
      </c>
      <c r="M57" s="196" t="s">
        <v>1230</v>
      </c>
      <c r="N57" s="195" t="s">
        <v>1231</v>
      </c>
      <c r="O57" s="196" t="s">
        <v>1232</v>
      </c>
      <c r="P57" s="195" t="s">
        <v>1233</v>
      </c>
      <c r="Q57" s="196" t="s">
        <v>1234</v>
      </c>
      <c r="R57" s="191" t="s">
        <v>991</v>
      </c>
      <c r="S57" s="190" t="s">
        <v>1235</v>
      </c>
      <c r="T57" s="193" t="s">
        <v>1236</v>
      </c>
      <c r="U57" s="194" t="s">
        <v>1237</v>
      </c>
      <c r="V57" s="193" t="s">
        <v>1238</v>
      </c>
      <c r="W57" s="194" t="s">
        <v>1239</v>
      </c>
      <c r="X57" s="195" t="s">
        <v>1240</v>
      </c>
      <c r="Y57" s="196" t="s">
        <v>1241</v>
      </c>
      <c r="Z57" s="191" t="s">
        <v>1242</v>
      </c>
      <c r="AA57" s="190" t="s">
        <v>1243</v>
      </c>
      <c r="AB57" s="187" t="s">
        <v>1244</v>
      </c>
      <c r="AC57" s="186" t="s">
        <v>1245</v>
      </c>
      <c r="AD57" s="195" t="s">
        <v>1246</v>
      </c>
      <c r="AE57" s="196" t="s">
        <v>1247</v>
      </c>
      <c r="AF57" s="193" t="s">
        <v>1248</v>
      </c>
      <c r="AG57" s="193" t="s">
        <v>1249</v>
      </c>
      <c r="AH57" s="184"/>
      <c r="AI57" s="184"/>
      <c r="AJ57" s="184"/>
      <c r="AK57" s="184"/>
      <c r="AL57" s="184"/>
      <c r="AM57" s="184"/>
      <c r="AN57" s="184"/>
      <c r="AO57" s="184"/>
      <c r="AP57" s="184"/>
      <c r="AQ57" s="184"/>
      <c r="AR57" s="184"/>
      <c r="AS57" s="184"/>
      <c r="AT57" s="184"/>
      <c r="AU57" s="188"/>
      <c r="AW57" s="129">
        <f>IFERROR(IF(AW56+1&gt;BA26,IF(AW56+1&gt;BA26,IF(AZ27+AZ56&gt;BA27,"",AZ27+AZ56)),AW56+1),"")</f>
        <v>28</v>
      </c>
      <c r="AX57" s="129" t="str">
        <f>IFERROR(INDEX(H31:AU181,AW57,AX26),"")</f>
        <v/>
      </c>
      <c r="AY57" s="129" t="str">
        <f>IFERROR(INDEX(H31:AU181,AW57,AY26),"")</f>
        <v/>
      </c>
      <c r="AZ57" s="129">
        <f>IFERROR(IF(AW56+1&gt;BA26,AZ56+1,0),"")</f>
        <v>0</v>
      </c>
    </row>
    <row r="58" spans="1:55" ht="16.5" customHeight="1" x14ac:dyDescent="0.25">
      <c r="A58" s="114" t="s">
        <v>576</v>
      </c>
      <c r="B58" s="114">
        <v>3</v>
      </c>
      <c r="C58" s="114">
        <v>4</v>
      </c>
      <c r="D58" s="114">
        <v>48</v>
      </c>
      <c r="E58" s="114">
        <v>52</v>
      </c>
      <c r="G58" s="184">
        <v>28</v>
      </c>
      <c r="H58" s="199" t="s">
        <v>1250</v>
      </c>
      <c r="I58" s="196" t="s">
        <v>1251</v>
      </c>
      <c r="J58" s="195" t="s">
        <v>1252</v>
      </c>
      <c r="K58" s="196" t="s">
        <v>1253</v>
      </c>
      <c r="L58" s="195" t="s">
        <v>1254</v>
      </c>
      <c r="M58" s="196" t="s">
        <v>1255</v>
      </c>
      <c r="N58" s="195" t="s">
        <v>1256</v>
      </c>
      <c r="O58" s="196" t="s">
        <v>1257</v>
      </c>
      <c r="P58" s="195" t="s">
        <v>1258</v>
      </c>
      <c r="Q58" s="196" t="s">
        <v>1259</v>
      </c>
      <c r="R58" s="191" t="s">
        <v>1260</v>
      </c>
      <c r="S58" s="190" t="s">
        <v>1261</v>
      </c>
      <c r="T58" s="193" t="s">
        <v>1262</v>
      </c>
      <c r="U58" s="194" t="s">
        <v>1263</v>
      </c>
      <c r="V58" s="193" t="s">
        <v>1264</v>
      </c>
      <c r="W58" s="194" t="s">
        <v>1265</v>
      </c>
      <c r="X58" s="193" t="s">
        <v>713</v>
      </c>
      <c r="Y58" s="194" t="s">
        <v>1266</v>
      </c>
      <c r="Z58" s="191" t="s">
        <v>828</v>
      </c>
      <c r="AA58" s="190" t="s">
        <v>949</v>
      </c>
      <c r="AB58" s="187" t="s">
        <v>1267</v>
      </c>
      <c r="AC58" s="186" t="s">
        <v>1268</v>
      </c>
      <c r="AD58" s="195" t="s">
        <v>1269</v>
      </c>
      <c r="AE58" s="196" t="s">
        <v>1270</v>
      </c>
      <c r="AF58" s="193" t="s">
        <v>1271</v>
      </c>
      <c r="AG58" s="193" t="s">
        <v>1272</v>
      </c>
      <c r="AH58" s="184"/>
      <c r="AI58" s="184"/>
      <c r="AJ58" s="184"/>
      <c r="AK58" s="184"/>
      <c r="AL58" s="184"/>
      <c r="AM58" s="184"/>
      <c r="AN58" s="184"/>
      <c r="AO58" s="184"/>
      <c r="AP58" s="184"/>
      <c r="AQ58" s="184"/>
      <c r="AR58" s="184"/>
      <c r="AS58" s="184"/>
      <c r="AT58" s="184"/>
      <c r="AU58" s="188"/>
      <c r="AW58" s="129">
        <f>IFERROR(IF(AW57+1&gt;BA26,IF(AW57+1&gt;BA26,IF(AZ27+AZ57&gt;BA27,"",AZ27+AZ57)),AW57+1),"")</f>
        <v>29</v>
      </c>
      <c r="AX58" s="129" t="str">
        <f>IFERROR(INDEX(H31:AU181,AW58,AX26),"")</f>
        <v/>
      </c>
      <c r="AY58" s="129" t="str">
        <f>IFERROR(INDEX(H31:AU181,AW58,AY26),"")</f>
        <v/>
      </c>
      <c r="AZ58" s="129">
        <f>IFERROR(IF(AW57+1&gt;BA26,AZ57+1,0),"")</f>
        <v>0</v>
      </c>
    </row>
    <row r="59" spans="1:55" ht="16.5" customHeight="1" x14ac:dyDescent="0.25">
      <c r="A59" s="114" t="s">
        <v>577</v>
      </c>
      <c r="B59" s="114">
        <v>3</v>
      </c>
      <c r="C59" s="114">
        <v>4</v>
      </c>
      <c r="D59" s="114">
        <v>53</v>
      </c>
      <c r="E59" s="114">
        <v>58</v>
      </c>
      <c r="G59" s="184">
        <v>29</v>
      </c>
      <c r="H59" s="197" t="s">
        <v>1273</v>
      </c>
      <c r="I59" s="194" t="s">
        <v>1274</v>
      </c>
      <c r="J59" s="195" t="s">
        <v>846</v>
      </c>
      <c r="K59" s="196" t="s">
        <v>1275</v>
      </c>
      <c r="L59" s="195" t="s">
        <v>1276</v>
      </c>
      <c r="M59" s="196" t="s">
        <v>1277</v>
      </c>
      <c r="N59" s="195" t="s">
        <v>1278</v>
      </c>
      <c r="O59" s="196" t="s">
        <v>1279</v>
      </c>
      <c r="P59" s="195" t="s">
        <v>1280</v>
      </c>
      <c r="Q59" s="196" t="s">
        <v>1281</v>
      </c>
      <c r="R59" s="191" t="s">
        <v>1282</v>
      </c>
      <c r="S59" s="190" t="s">
        <v>1283</v>
      </c>
      <c r="T59" s="193" t="s">
        <v>1284</v>
      </c>
      <c r="U59" s="194" t="s">
        <v>1285</v>
      </c>
      <c r="V59" s="193" t="s">
        <v>1286</v>
      </c>
      <c r="W59" s="194" t="s">
        <v>1287</v>
      </c>
      <c r="X59" s="193" t="s">
        <v>150</v>
      </c>
      <c r="Y59" s="194" t="s">
        <v>1288</v>
      </c>
      <c r="Z59" s="191" t="s">
        <v>1289</v>
      </c>
      <c r="AA59" s="190" t="s">
        <v>1290</v>
      </c>
      <c r="AB59" s="187" t="s">
        <v>1291</v>
      </c>
      <c r="AC59" s="186" t="s">
        <v>1292</v>
      </c>
      <c r="AD59" s="193" t="s">
        <v>1293</v>
      </c>
      <c r="AE59" s="194" t="s">
        <v>1294</v>
      </c>
      <c r="AF59" s="193" t="s">
        <v>1295</v>
      </c>
      <c r="AG59" s="193" t="s">
        <v>1296</v>
      </c>
      <c r="AH59" s="184"/>
      <c r="AI59" s="184"/>
      <c r="AJ59" s="184"/>
      <c r="AK59" s="184"/>
      <c r="AL59" s="184"/>
      <c r="AM59" s="184"/>
      <c r="AN59" s="184"/>
      <c r="AO59" s="184"/>
      <c r="AP59" s="184"/>
      <c r="AQ59" s="184"/>
      <c r="AR59" s="184"/>
      <c r="AS59" s="184"/>
      <c r="AT59" s="184"/>
      <c r="AU59" s="188"/>
      <c r="AW59" s="129">
        <f>IFERROR(IF(AW58+1&gt;BA26,IF(AW58+1&gt;BA26,IF(AZ27+AZ58&gt;BA27,"",AZ27+AZ58)),AW58+1),"")</f>
        <v>30</v>
      </c>
      <c r="AX59" s="129" t="str">
        <f>IFERROR(INDEX(H31:AU181,AW59,AX26),"")</f>
        <v/>
      </c>
      <c r="AY59" s="129" t="str">
        <f>IFERROR(INDEX(H31:AU181,AW59,AY26),"")</f>
        <v/>
      </c>
      <c r="AZ59" s="129">
        <f>IFERROR(IF(AW58+1&gt;BA26,AZ58+1,0),"")</f>
        <v>0</v>
      </c>
    </row>
    <row r="60" spans="1:55" ht="16.5" customHeight="1" x14ac:dyDescent="0.25">
      <c r="A60" s="198" t="s">
        <v>579</v>
      </c>
      <c r="B60" s="198">
        <v>5</v>
      </c>
      <c r="C60" s="198">
        <v>6</v>
      </c>
      <c r="D60" s="198">
        <v>20</v>
      </c>
      <c r="E60" s="198">
        <f>D61-1</f>
        <v>25</v>
      </c>
      <c r="G60" s="184">
        <v>30</v>
      </c>
      <c r="H60" s="197" t="s">
        <v>1297</v>
      </c>
      <c r="I60" s="194" t="s">
        <v>1298</v>
      </c>
      <c r="J60" s="195" t="s">
        <v>1299</v>
      </c>
      <c r="K60" s="196" t="s">
        <v>1300</v>
      </c>
      <c r="L60" s="195" t="s">
        <v>1301</v>
      </c>
      <c r="M60" s="196" t="s">
        <v>1302</v>
      </c>
      <c r="N60" s="195" t="s">
        <v>1303</v>
      </c>
      <c r="O60" s="196" t="s">
        <v>1304</v>
      </c>
      <c r="P60" s="195" t="s">
        <v>1305</v>
      </c>
      <c r="Q60" s="196" t="s">
        <v>1306</v>
      </c>
      <c r="R60" s="193" t="s">
        <v>1307</v>
      </c>
      <c r="S60" s="194" t="s">
        <v>1308</v>
      </c>
      <c r="T60" s="195" t="s">
        <v>1309</v>
      </c>
      <c r="U60" s="196" t="s">
        <v>1310</v>
      </c>
      <c r="V60" s="195" t="s">
        <v>1311</v>
      </c>
      <c r="W60" s="196" t="s">
        <v>1312</v>
      </c>
      <c r="X60" s="193" t="s">
        <v>133</v>
      </c>
      <c r="Y60" s="194" t="s">
        <v>1313</v>
      </c>
      <c r="Z60" s="191" t="s">
        <v>1314</v>
      </c>
      <c r="AA60" s="190" t="s">
        <v>1315</v>
      </c>
      <c r="AB60" s="187" t="s">
        <v>1316</v>
      </c>
      <c r="AC60" s="186" t="s">
        <v>1317</v>
      </c>
      <c r="AD60" s="193" t="s">
        <v>1318</v>
      </c>
      <c r="AE60" s="194" t="s">
        <v>1319</v>
      </c>
      <c r="AF60" s="193" t="s">
        <v>1320</v>
      </c>
      <c r="AG60" s="193" t="s">
        <v>1321</v>
      </c>
      <c r="AH60" s="184"/>
      <c r="AI60" s="184"/>
      <c r="AJ60" s="184"/>
      <c r="AK60" s="184"/>
      <c r="AL60" s="184"/>
      <c r="AM60" s="184"/>
      <c r="AN60" s="184"/>
      <c r="AO60" s="184"/>
      <c r="AP60" s="184"/>
      <c r="AQ60" s="184"/>
      <c r="AR60" s="184"/>
      <c r="AS60" s="184"/>
      <c r="AT60" s="184"/>
      <c r="AU60" s="188"/>
      <c r="AW60" s="129">
        <f>IFERROR(IF(AW59+1&gt;BA26,IF(AW59+1&gt;BA26,IF(AZ27+AZ59&gt;BA27,"",AZ27+AZ59)),AW59+1),"")</f>
        <v>31</v>
      </c>
      <c r="AX60" s="129" t="str">
        <f>IFERROR(INDEX(H31:AU181,AW60,AX26),"")</f>
        <v/>
      </c>
      <c r="AY60" s="129" t="str">
        <f>IFERROR(INDEX(H31:AU181,AW60,AY26),"")</f>
        <v/>
      </c>
      <c r="AZ60" s="129">
        <f>IFERROR(IF(AW59+1&gt;BA26,AZ59+1,0),"")</f>
        <v>0</v>
      </c>
    </row>
    <row r="61" spans="1:55" ht="16.5" customHeight="1" x14ac:dyDescent="0.25">
      <c r="A61" s="114" t="s">
        <v>580</v>
      </c>
      <c r="B61" s="114">
        <v>5</v>
      </c>
      <c r="C61" s="114">
        <v>6</v>
      </c>
      <c r="D61" s="114">
        <v>26</v>
      </c>
      <c r="E61" s="114">
        <f t="shared" ref="E61:E71" si="2">D62-1</f>
        <v>32</v>
      </c>
      <c r="G61" s="184">
        <v>31</v>
      </c>
      <c r="H61" s="197" t="s">
        <v>1322</v>
      </c>
      <c r="I61" s="194" t="s">
        <v>1323</v>
      </c>
      <c r="J61" s="193" t="s">
        <v>1324</v>
      </c>
      <c r="K61" s="194" t="s">
        <v>1325</v>
      </c>
      <c r="L61" s="195" t="s">
        <v>1326</v>
      </c>
      <c r="M61" s="196" t="s">
        <v>1327</v>
      </c>
      <c r="N61" s="193" t="s">
        <v>1328</v>
      </c>
      <c r="O61" s="194" t="s">
        <v>1329</v>
      </c>
      <c r="P61" s="195" t="s">
        <v>1330</v>
      </c>
      <c r="Q61" s="196" t="s">
        <v>1331</v>
      </c>
      <c r="R61" s="193" t="s">
        <v>1332</v>
      </c>
      <c r="S61" s="194" t="s">
        <v>1333</v>
      </c>
      <c r="T61" s="195" t="s">
        <v>1334</v>
      </c>
      <c r="U61" s="196" t="s">
        <v>1335</v>
      </c>
      <c r="V61" s="195" t="s">
        <v>1336</v>
      </c>
      <c r="W61" s="196" t="s">
        <v>1337</v>
      </c>
      <c r="X61" s="193" t="s">
        <v>773</v>
      </c>
      <c r="Y61" s="194" t="s">
        <v>1338</v>
      </c>
      <c r="Z61" s="193" t="s">
        <v>1339</v>
      </c>
      <c r="AA61" s="194" t="s">
        <v>1340</v>
      </c>
      <c r="AB61" s="187" t="s">
        <v>1341</v>
      </c>
      <c r="AC61" s="186" t="s">
        <v>1342</v>
      </c>
      <c r="AD61" s="193" t="s">
        <v>1343</v>
      </c>
      <c r="AE61" s="194" t="s">
        <v>1344</v>
      </c>
      <c r="AF61" s="193" t="s">
        <v>1345</v>
      </c>
      <c r="AG61" s="193" t="s">
        <v>1346</v>
      </c>
      <c r="AH61" s="184"/>
      <c r="AI61" s="184"/>
      <c r="AJ61" s="184"/>
      <c r="AK61" s="184"/>
      <c r="AL61" s="184"/>
      <c r="AM61" s="184"/>
      <c r="AN61" s="184"/>
      <c r="AO61" s="184"/>
      <c r="AP61" s="184"/>
      <c r="AQ61" s="184"/>
      <c r="AR61" s="184"/>
      <c r="AS61" s="184"/>
      <c r="AT61" s="184"/>
      <c r="AU61" s="188"/>
      <c r="AW61" s="129">
        <f>IFERROR(IF(AW60+1&gt;BA26,IF(AW60+1&gt;BA26,IF(AZ27+AZ60&gt;BA27,"",AZ27+AZ60)),AW60+1),"")</f>
        <v>32</v>
      </c>
      <c r="AX61" s="129" t="str">
        <f>IFERROR(INDEX(H31:AU181,AW61,AX26),"")</f>
        <v/>
      </c>
      <c r="AY61" s="129" t="str">
        <f>IFERROR(INDEX(H31:AU181,AW61,AY26),"")</f>
        <v/>
      </c>
      <c r="AZ61" s="129">
        <f>IFERROR(IF(AW60+1&gt;BA26,AZ60+1,0),"")</f>
        <v>0</v>
      </c>
    </row>
    <row r="62" spans="1:55" ht="16.5" customHeight="1" x14ac:dyDescent="0.25">
      <c r="A62" s="114" t="s">
        <v>581</v>
      </c>
      <c r="B62" s="114">
        <v>5</v>
      </c>
      <c r="C62" s="114">
        <v>6</v>
      </c>
      <c r="D62" s="114">
        <v>33</v>
      </c>
      <c r="E62" s="114">
        <f t="shared" si="2"/>
        <v>39</v>
      </c>
      <c r="G62" s="184">
        <v>32</v>
      </c>
      <c r="H62" s="197" t="s">
        <v>1347</v>
      </c>
      <c r="I62" s="194" t="s">
        <v>1348</v>
      </c>
      <c r="J62" s="193" t="s">
        <v>1349</v>
      </c>
      <c r="K62" s="194" t="s">
        <v>1350</v>
      </c>
      <c r="L62" s="195" t="s">
        <v>1351</v>
      </c>
      <c r="M62" s="196" t="s">
        <v>1352</v>
      </c>
      <c r="N62" s="193" t="s">
        <v>1353</v>
      </c>
      <c r="O62" s="194" t="s">
        <v>1354</v>
      </c>
      <c r="P62" s="195" t="s">
        <v>1355</v>
      </c>
      <c r="Q62" s="196" t="s">
        <v>1356</v>
      </c>
      <c r="R62" s="193" t="s">
        <v>1357</v>
      </c>
      <c r="S62" s="194" t="s">
        <v>1358</v>
      </c>
      <c r="T62" s="195" t="s">
        <v>1359</v>
      </c>
      <c r="U62" s="196" t="s">
        <v>1360</v>
      </c>
      <c r="V62" s="195" t="s">
        <v>1361</v>
      </c>
      <c r="W62" s="196" t="s">
        <v>1362</v>
      </c>
      <c r="X62" s="193" t="s">
        <v>775</v>
      </c>
      <c r="Y62" s="194" t="s">
        <v>1363</v>
      </c>
      <c r="Z62" s="193" t="s">
        <v>1364</v>
      </c>
      <c r="AA62" s="194" t="s">
        <v>1365</v>
      </c>
      <c r="AB62" s="187" t="s">
        <v>1366</v>
      </c>
      <c r="AC62" s="186" t="s">
        <v>1367</v>
      </c>
      <c r="AD62" s="193" t="s">
        <v>1368</v>
      </c>
      <c r="AE62" s="194" t="s">
        <v>1369</v>
      </c>
      <c r="AF62" s="193" t="s">
        <v>1370</v>
      </c>
      <c r="AG62" s="193" t="s">
        <v>1371</v>
      </c>
      <c r="AH62" s="184"/>
      <c r="AI62" s="184"/>
      <c r="AJ62" s="184"/>
      <c r="AK62" s="184"/>
      <c r="AL62" s="184"/>
      <c r="AM62" s="184"/>
      <c r="AN62" s="184"/>
      <c r="AO62" s="184"/>
      <c r="AP62" s="184"/>
      <c r="AQ62" s="184"/>
      <c r="AR62" s="184"/>
      <c r="AS62" s="184"/>
      <c r="AT62" s="184"/>
      <c r="AU62" s="188"/>
      <c r="AW62" s="129">
        <f>IFERROR(IF(AW61+1&gt;BA26,IF(AW61+1&gt;BA26,IF(AZ27+AZ61&gt;BA27,"",AZ27+AZ61)),AW61+1),"")</f>
        <v>33</v>
      </c>
      <c r="AX62" s="129" t="str">
        <f>IFERROR(INDEX(H31:AU181,AW62,AX26),"")</f>
        <v/>
      </c>
      <c r="AY62" s="129" t="str">
        <f>IFERROR(INDEX(H31:AU181,AW62,AY26),"")</f>
        <v/>
      </c>
      <c r="AZ62" s="129">
        <f>IFERROR(IF(AW61+1&gt;BA26,AZ61+1,0),"")</f>
        <v>0</v>
      </c>
    </row>
    <row r="63" spans="1:55" ht="16.5" customHeight="1" x14ac:dyDescent="0.25">
      <c r="A63" s="114" t="s">
        <v>582</v>
      </c>
      <c r="B63" s="114">
        <v>5</v>
      </c>
      <c r="C63" s="114">
        <v>6</v>
      </c>
      <c r="D63" s="114">
        <v>40</v>
      </c>
      <c r="E63" s="114">
        <f t="shared" si="2"/>
        <v>46</v>
      </c>
      <c r="G63" s="184">
        <v>33</v>
      </c>
      <c r="H63" s="197" t="s">
        <v>1372</v>
      </c>
      <c r="I63" s="194" t="s">
        <v>1373</v>
      </c>
      <c r="J63" s="193" t="s">
        <v>1374</v>
      </c>
      <c r="K63" s="194" t="s">
        <v>1375</v>
      </c>
      <c r="L63" s="193" t="s">
        <v>1376</v>
      </c>
      <c r="M63" s="194" t="s">
        <v>1377</v>
      </c>
      <c r="N63" s="193" t="s">
        <v>1378</v>
      </c>
      <c r="O63" s="194" t="s">
        <v>1379</v>
      </c>
      <c r="P63" s="195" t="s">
        <v>1380</v>
      </c>
      <c r="Q63" s="196" t="s">
        <v>1381</v>
      </c>
      <c r="R63" s="193" t="s">
        <v>1382</v>
      </c>
      <c r="S63" s="194" t="s">
        <v>1383</v>
      </c>
      <c r="T63" s="195" t="s">
        <v>1384</v>
      </c>
      <c r="U63" s="196" t="s">
        <v>1385</v>
      </c>
      <c r="V63" s="195" t="s">
        <v>1386</v>
      </c>
      <c r="W63" s="196" t="s">
        <v>1387</v>
      </c>
      <c r="X63" s="193" t="s">
        <v>1388</v>
      </c>
      <c r="Y63" s="194" t="s">
        <v>1389</v>
      </c>
      <c r="Z63" s="193" t="s">
        <v>1390</v>
      </c>
      <c r="AA63" s="194" t="s">
        <v>1391</v>
      </c>
      <c r="AB63" s="187" t="s">
        <v>1392</v>
      </c>
      <c r="AC63" s="186" t="s">
        <v>1393</v>
      </c>
      <c r="AD63" s="193" t="s">
        <v>1394</v>
      </c>
      <c r="AE63" s="194" t="s">
        <v>1395</v>
      </c>
      <c r="AF63" s="193" t="s">
        <v>1396</v>
      </c>
      <c r="AG63" s="193" t="s">
        <v>1397</v>
      </c>
      <c r="AH63" s="184"/>
      <c r="AI63" s="184"/>
      <c r="AJ63" s="184"/>
      <c r="AK63" s="184"/>
      <c r="AL63" s="184"/>
      <c r="AM63" s="184"/>
      <c r="AN63" s="184"/>
      <c r="AO63" s="184"/>
      <c r="AP63" s="184"/>
      <c r="AQ63" s="184"/>
      <c r="AR63" s="184"/>
      <c r="AS63" s="184"/>
      <c r="AT63" s="184"/>
      <c r="AU63" s="188"/>
      <c r="AW63" s="129">
        <f>IFERROR(IF(AW62+1&gt;BA26,IF(AW62+1&gt;BA26,IF(AZ27+AZ62&gt;BA27,"",AZ27+AZ62)),AW62+1),"")</f>
        <v>34</v>
      </c>
      <c r="AX63" s="129" t="str">
        <f>IFERROR(INDEX(H31:AU181,AW63,AX26),"")</f>
        <v/>
      </c>
      <c r="AY63" s="129" t="str">
        <f>IFERROR(INDEX(H31:AU181,AW63,AY26),"")</f>
        <v/>
      </c>
      <c r="AZ63" s="129">
        <f>IFERROR(IF(AW62+1&gt;BA26,AZ62+1,0),"")</f>
        <v>0</v>
      </c>
    </row>
    <row r="64" spans="1:55" ht="16.5" customHeight="1" x14ac:dyDescent="0.25">
      <c r="A64" s="114" t="s">
        <v>583</v>
      </c>
      <c r="B64" s="114">
        <v>5</v>
      </c>
      <c r="C64" s="114">
        <v>6</v>
      </c>
      <c r="D64" s="114">
        <v>47</v>
      </c>
      <c r="E64" s="114">
        <f t="shared" si="2"/>
        <v>53</v>
      </c>
      <c r="G64" s="184">
        <v>34</v>
      </c>
      <c r="H64" s="199" t="s">
        <v>1398</v>
      </c>
      <c r="I64" s="196" t="s">
        <v>1399</v>
      </c>
      <c r="J64" s="193" t="s">
        <v>1400</v>
      </c>
      <c r="K64" s="194" t="s">
        <v>1401</v>
      </c>
      <c r="L64" s="193" t="s">
        <v>1055</v>
      </c>
      <c r="M64" s="194" t="s">
        <v>1402</v>
      </c>
      <c r="N64" s="193" t="s">
        <v>1403</v>
      </c>
      <c r="O64" s="194" t="s">
        <v>1404</v>
      </c>
      <c r="P64" s="195" t="s">
        <v>1405</v>
      </c>
      <c r="Q64" s="196" t="s">
        <v>1406</v>
      </c>
      <c r="R64" s="195" t="s">
        <v>1407</v>
      </c>
      <c r="S64" s="196" t="s">
        <v>1408</v>
      </c>
      <c r="T64" s="195" t="s">
        <v>1409</v>
      </c>
      <c r="U64" s="196" t="s">
        <v>1410</v>
      </c>
      <c r="V64" s="195" t="s">
        <v>1411</v>
      </c>
      <c r="W64" s="196" t="s">
        <v>1412</v>
      </c>
      <c r="X64" s="193" t="s">
        <v>1413</v>
      </c>
      <c r="Y64" s="194" t="s">
        <v>1414</v>
      </c>
      <c r="Z64" s="193" t="s">
        <v>1415</v>
      </c>
      <c r="AA64" s="194" t="s">
        <v>1416</v>
      </c>
      <c r="AB64" s="187" t="s">
        <v>1417</v>
      </c>
      <c r="AC64" s="186" t="s">
        <v>1418</v>
      </c>
      <c r="AD64" s="195" t="s">
        <v>1419</v>
      </c>
      <c r="AE64" s="196" t="s">
        <v>1420</v>
      </c>
      <c r="AF64" s="193" t="s">
        <v>1421</v>
      </c>
      <c r="AG64" s="193" t="s">
        <v>1422</v>
      </c>
      <c r="AH64" s="184"/>
      <c r="AI64" s="184"/>
      <c r="AJ64" s="184"/>
      <c r="AK64" s="184"/>
      <c r="AL64" s="184"/>
      <c r="AM64" s="184"/>
      <c r="AN64" s="184"/>
      <c r="AO64" s="184"/>
      <c r="AP64" s="184"/>
      <c r="AQ64" s="184"/>
      <c r="AR64" s="184"/>
      <c r="AS64" s="184"/>
      <c r="AT64" s="184"/>
      <c r="AU64" s="188"/>
      <c r="AW64" s="129">
        <f>IFERROR(IF(AW63+1&gt;BA26,IF(AW63+1&gt;BA26,IF(AZ27+AZ63&gt;BA27,"",AZ27+AZ63)),AW63+1),"")</f>
        <v>35</v>
      </c>
      <c r="AX64" s="129" t="str">
        <f>IFERROR(INDEX(H31:AU181,AW64,AX26),"")</f>
        <v/>
      </c>
      <c r="AY64" s="129" t="str">
        <f>IFERROR(INDEX(H31:AU181,AW64,AY26),"")</f>
        <v/>
      </c>
      <c r="AZ64" s="129">
        <f>IFERROR(IF(AW63+1&gt;BA26,AZ63+1,0),"")</f>
        <v>0</v>
      </c>
    </row>
    <row r="65" spans="1:52" ht="16.5" customHeight="1" x14ac:dyDescent="0.25">
      <c r="A65" s="114" t="s">
        <v>584</v>
      </c>
      <c r="B65" s="114">
        <v>5</v>
      </c>
      <c r="C65" s="114">
        <v>6</v>
      </c>
      <c r="D65" s="114">
        <v>54</v>
      </c>
      <c r="E65" s="114">
        <f t="shared" si="2"/>
        <v>59</v>
      </c>
      <c r="G65" s="184">
        <v>35</v>
      </c>
      <c r="H65" s="199" t="s">
        <v>1423</v>
      </c>
      <c r="I65" s="196" t="s">
        <v>1424</v>
      </c>
      <c r="J65" s="200" t="s">
        <v>1127</v>
      </c>
      <c r="K65" s="201" t="s">
        <v>1425</v>
      </c>
      <c r="L65" s="193" t="s">
        <v>1426</v>
      </c>
      <c r="M65" s="194" t="s">
        <v>1427</v>
      </c>
      <c r="N65" s="200" t="s">
        <v>1428</v>
      </c>
      <c r="O65" s="201" t="s">
        <v>1429</v>
      </c>
      <c r="P65" s="195" t="s">
        <v>1430</v>
      </c>
      <c r="Q65" s="196" t="s">
        <v>1431</v>
      </c>
      <c r="R65" s="195" t="s">
        <v>1432</v>
      </c>
      <c r="S65" s="196" t="s">
        <v>1433</v>
      </c>
      <c r="T65" s="193" t="s">
        <v>1434</v>
      </c>
      <c r="U65" s="194" t="s">
        <v>1435</v>
      </c>
      <c r="V65" s="193" t="s">
        <v>1436</v>
      </c>
      <c r="W65" s="194" t="s">
        <v>1437</v>
      </c>
      <c r="X65" s="193" t="s">
        <v>1438</v>
      </c>
      <c r="Y65" s="194" t="s">
        <v>1439</v>
      </c>
      <c r="Z65" s="193" t="s">
        <v>1440</v>
      </c>
      <c r="AA65" s="194" t="s">
        <v>1441</v>
      </c>
      <c r="AB65" s="187" t="s">
        <v>1442</v>
      </c>
      <c r="AC65" s="186" t="s">
        <v>1443</v>
      </c>
      <c r="AD65" s="195" t="s">
        <v>1444</v>
      </c>
      <c r="AE65" s="196" t="s">
        <v>1445</v>
      </c>
      <c r="AF65" s="193" t="s">
        <v>1446</v>
      </c>
      <c r="AG65" s="193" t="s">
        <v>1447</v>
      </c>
      <c r="AH65" s="184"/>
      <c r="AI65" s="184"/>
      <c r="AJ65" s="184"/>
      <c r="AK65" s="184"/>
      <c r="AL65" s="184"/>
      <c r="AM65" s="184"/>
      <c r="AN65" s="184"/>
      <c r="AO65" s="184"/>
      <c r="AP65" s="184"/>
      <c r="AQ65" s="184"/>
      <c r="AR65" s="184"/>
      <c r="AS65" s="184"/>
      <c r="AT65" s="184"/>
      <c r="AU65" s="188"/>
      <c r="AW65" s="129">
        <f>IFERROR(IF(AW64+1&gt;BA26,IF(AW64+1&gt;BA26,IF(AZ27+AZ64&gt;BA27,"",AZ27+AZ64)),AW64+1),"")</f>
        <v>36</v>
      </c>
      <c r="AX65" s="129" t="str">
        <f>IFERROR(INDEX(H31:AU181,AW65,AX26),"")</f>
        <v/>
      </c>
      <c r="AY65" s="129" t="str">
        <f>IFERROR(INDEX(H31:AU181,AW65,AY26),"")</f>
        <v/>
      </c>
      <c r="AZ65" s="129">
        <f>IFERROR(IF(AW64+1&gt;BA26,AZ64+1,0),"")</f>
        <v>0</v>
      </c>
    </row>
    <row r="66" spans="1:52" ht="16.5" customHeight="1" x14ac:dyDescent="0.25">
      <c r="A66" s="114" t="s">
        <v>585</v>
      </c>
      <c r="B66" s="114">
        <v>5</v>
      </c>
      <c r="C66" s="114">
        <v>6</v>
      </c>
      <c r="D66" s="114">
        <v>60</v>
      </c>
      <c r="E66" s="114">
        <f t="shared" si="2"/>
        <v>66</v>
      </c>
      <c r="G66" s="184">
        <v>36</v>
      </c>
      <c r="H66" s="199" t="s">
        <v>1448</v>
      </c>
      <c r="I66" s="196" t="s">
        <v>1449</v>
      </c>
      <c r="J66" s="200" t="s">
        <v>718</v>
      </c>
      <c r="K66" s="201" t="s">
        <v>1450</v>
      </c>
      <c r="L66" s="193" t="s">
        <v>1451</v>
      </c>
      <c r="M66" s="194" t="s">
        <v>1452</v>
      </c>
      <c r="N66" s="200" t="s">
        <v>1453</v>
      </c>
      <c r="O66" s="201" t="s">
        <v>1454</v>
      </c>
      <c r="P66" s="195" t="s">
        <v>1455</v>
      </c>
      <c r="Q66" s="196" t="s">
        <v>1456</v>
      </c>
      <c r="R66" s="195" t="s">
        <v>1457</v>
      </c>
      <c r="S66" s="196" t="s">
        <v>1458</v>
      </c>
      <c r="T66" s="193" t="s">
        <v>1459</v>
      </c>
      <c r="U66" s="194" t="s">
        <v>1460</v>
      </c>
      <c r="V66" s="193" t="s">
        <v>1461</v>
      </c>
      <c r="W66" s="194" t="s">
        <v>1462</v>
      </c>
      <c r="X66" s="193" t="s">
        <v>1463</v>
      </c>
      <c r="Y66" s="194" t="s">
        <v>1464</v>
      </c>
      <c r="Z66" s="195" t="s">
        <v>1465</v>
      </c>
      <c r="AA66" s="196" t="s">
        <v>1466</v>
      </c>
      <c r="AB66" s="187" t="s">
        <v>1467</v>
      </c>
      <c r="AC66" s="186" t="s">
        <v>1468</v>
      </c>
      <c r="AD66" s="195" t="s">
        <v>1469</v>
      </c>
      <c r="AE66" s="196" t="s">
        <v>1470</v>
      </c>
      <c r="AF66" s="193" t="s">
        <v>1471</v>
      </c>
      <c r="AG66" s="193" t="s">
        <v>1472</v>
      </c>
      <c r="AH66" s="184"/>
      <c r="AI66" s="184"/>
      <c r="AJ66" s="184"/>
      <c r="AK66" s="184"/>
      <c r="AL66" s="184"/>
      <c r="AM66" s="184"/>
      <c r="AN66" s="184"/>
      <c r="AO66" s="184"/>
      <c r="AP66" s="184"/>
      <c r="AQ66" s="184"/>
      <c r="AR66" s="184"/>
      <c r="AS66" s="184"/>
      <c r="AT66" s="184"/>
      <c r="AU66" s="188"/>
      <c r="AW66" s="129">
        <f>IFERROR(IF(AW65+1&gt;BA26,IF(AW65+1&gt;BA26,IF(AZ27+AZ65&gt;BA27,"",AZ27+AZ65)),AW65+1),"")</f>
        <v>37</v>
      </c>
      <c r="AX66" s="129" t="str">
        <f>IFERROR(INDEX(H31:AU181,AW66,AX26),"")</f>
        <v/>
      </c>
      <c r="AY66" s="129" t="str">
        <f>IFERROR(INDEX(H31:AU181,AW66,AY26),"")</f>
        <v/>
      </c>
      <c r="AZ66" s="129">
        <f>IFERROR(IF(AW65+1&gt;BA26,AZ65+1,0),"")</f>
        <v>0</v>
      </c>
    </row>
    <row r="67" spans="1:52" ht="16.5" customHeight="1" x14ac:dyDescent="0.25">
      <c r="A67" s="114" t="s">
        <v>586</v>
      </c>
      <c r="B67" s="114">
        <v>5</v>
      </c>
      <c r="C67" s="114">
        <v>6</v>
      </c>
      <c r="D67" s="114">
        <v>67</v>
      </c>
      <c r="E67" s="114">
        <f t="shared" si="2"/>
        <v>73</v>
      </c>
      <c r="G67" s="184">
        <v>37</v>
      </c>
      <c r="H67" s="199" t="s">
        <v>1473</v>
      </c>
      <c r="I67" s="196" t="s">
        <v>1474</v>
      </c>
      <c r="J67" s="200" t="s">
        <v>1475</v>
      </c>
      <c r="K67" s="201" t="s">
        <v>1476</v>
      </c>
      <c r="L67" s="193" t="s">
        <v>1477</v>
      </c>
      <c r="M67" s="194" t="s">
        <v>1478</v>
      </c>
      <c r="N67" s="200" t="s">
        <v>1479</v>
      </c>
      <c r="O67" s="201" t="s">
        <v>1480</v>
      </c>
      <c r="P67" s="195" t="s">
        <v>1481</v>
      </c>
      <c r="Q67" s="196" t="s">
        <v>1482</v>
      </c>
      <c r="R67" s="195" t="s">
        <v>1483</v>
      </c>
      <c r="S67" s="196" t="s">
        <v>1484</v>
      </c>
      <c r="T67" s="193" t="s">
        <v>1485</v>
      </c>
      <c r="U67" s="194" t="s">
        <v>1486</v>
      </c>
      <c r="V67" s="193" t="s">
        <v>1487</v>
      </c>
      <c r="W67" s="194" t="s">
        <v>1488</v>
      </c>
      <c r="X67" s="200" t="s">
        <v>1489</v>
      </c>
      <c r="Y67" s="201" t="s">
        <v>1490</v>
      </c>
      <c r="Z67" s="195" t="s">
        <v>1491</v>
      </c>
      <c r="AA67" s="196" t="s">
        <v>1492</v>
      </c>
      <c r="AB67" s="187" t="s">
        <v>1493</v>
      </c>
      <c r="AC67" s="186" t="s">
        <v>1494</v>
      </c>
      <c r="AD67" s="195" t="s">
        <v>1495</v>
      </c>
      <c r="AE67" s="196" t="s">
        <v>1496</v>
      </c>
      <c r="AF67" s="193" t="s">
        <v>1497</v>
      </c>
      <c r="AG67" s="193" t="s">
        <v>1498</v>
      </c>
      <c r="AH67" s="184"/>
      <c r="AI67" s="184"/>
      <c r="AJ67" s="184"/>
      <c r="AK67" s="184"/>
      <c r="AL67" s="184"/>
      <c r="AM67" s="184"/>
      <c r="AN67" s="184"/>
      <c r="AO67" s="184"/>
      <c r="AP67" s="184"/>
      <c r="AQ67" s="184"/>
      <c r="AR67" s="184"/>
      <c r="AS67" s="184"/>
      <c r="AT67" s="184"/>
      <c r="AU67" s="188"/>
      <c r="AW67" s="129">
        <f>IFERROR(IF(AW66+1&gt;BA26,IF(AW66+1&gt;BA26,IF(AZ27+AZ66&gt;BA27,"",AZ27+AZ66)),AW66+1),"")</f>
        <v>38</v>
      </c>
      <c r="AX67" s="129" t="str">
        <f>IFERROR(INDEX(H31:AU181,AW67,AX26),"")</f>
        <v/>
      </c>
      <c r="AY67" s="129" t="str">
        <f>IFERROR(INDEX(H31:AU181,AW67,AY26),"")</f>
        <v/>
      </c>
      <c r="AZ67" s="129">
        <f>IFERROR(IF(AW66+1&gt;BA26,AZ66+1,0),"")</f>
        <v>0</v>
      </c>
    </row>
    <row r="68" spans="1:52" ht="16.5" customHeight="1" x14ac:dyDescent="0.25">
      <c r="A68" s="114" t="s">
        <v>587</v>
      </c>
      <c r="B68" s="114">
        <v>5</v>
      </c>
      <c r="C68" s="114">
        <v>6</v>
      </c>
      <c r="D68" s="114">
        <v>74</v>
      </c>
      <c r="E68" s="114">
        <f t="shared" si="2"/>
        <v>80</v>
      </c>
      <c r="G68" s="184">
        <v>38</v>
      </c>
      <c r="H68" s="197" t="s">
        <v>1499</v>
      </c>
      <c r="I68" s="194" t="s">
        <v>1500</v>
      </c>
      <c r="J68" s="200" t="s">
        <v>846</v>
      </c>
      <c r="K68" s="201" t="s">
        <v>1275</v>
      </c>
      <c r="L68" s="193" t="s">
        <v>1153</v>
      </c>
      <c r="M68" s="194" t="s">
        <v>1154</v>
      </c>
      <c r="N68" s="200" t="s">
        <v>1501</v>
      </c>
      <c r="O68" s="201" t="s">
        <v>1502</v>
      </c>
      <c r="P68" s="195" t="s">
        <v>1503</v>
      </c>
      <c r="Q68" s="196" t="s">
        <v>1504</v>
      </c>
      <c r="R68" s="193" t="s">
        <v>1505</v>
      </c>
      <c r="S68" s="194" t="s">
        <v>1506</v>
      </c>
      <c r="T68" s="193" t="s">
        <v>1507</v>
      </c>
      <c r="U68" s="194" t="s">
        <v>1508</v>
      </c>
      <c r="V68" s="193" t="s">
        <v>1509</v>
      </c>
      <c r="W68" s="194" t="s">
        <v>1510</v>
      </c>
      <c r="X68" s="200" t="s">
        <v>1511</v>
      </c>
      <c r="Y68" s="201" t="s">
        <v>1512</v>
      </c>
      <c r="Z68" s="195" t="s">
        <v>1513</v>
      </c>
      <c r="AA68" s="196" t="s">
        <v>1514</v>
      </c>
      <c r="AB68" s="187" t="s">
        <v>1515</v>
      </c>
      <c r="AC68" s="186" t="s">
        <v>1516</v>
      </c>
      <c r="AD68" s="195" t="s">
        <v>1517</v>
      </c>
      <c r="AE68" s="196" t="s">
        <v>1518</v>
      </c>
      <c r="AF68" s="193" t="s">
        <v>1519</v>
      </c>
      <c r="AG68" s="193" t="s">
        <v>1520</v>
      </c>
      <c r="AH68" s="184"/>
      <c r="AI68" s="184"/>
      <c r="AJ68" s="184"/>
      <c r="AK68" s="184"/>
      <c r="AL68" s="184"/>
      <c r="AM68" s="184"/>
      <c r="AN68" s="184"/>
      <c r="AO68" s="184"/>
      <c r="AP68" s="184"/>
      <c r="AQ68" s="184"/>
      <c r="AR68" s="184"/>
      <c r="AS68" s="184"/>
      <c r="AT68" s="184"/>
      <c r="AU68" s="188"/>
      <c r="AW68" s="129">
        <f>IFERROR(IF(AW67+1&gt;BA26,IF(AW67+1&gt;BA26,IF(AZ27+AZ67&gt;BA27,"",AZ27+AZ67)),AW67+1),"")</f>
        <v>39</v>
      </c>
      <c r="AX68" s="129" t="str">
        <f>IFERROR(INDEX(H31:AU181,AW68,AX26),"")</f>
        <v/>
      </c>
      <c r="AY68" s="129" t="str">
        <f>IFERROR(INDEX(H31:AU181,AW68,AY26),"")</f>
        <v/>
      </c>
      <c r="AZ68" s="129">
        <f>IFERROR(IF(AW67+1&gt;BA26,AZ67+1,0),"")</f>
        <v>0</v>
      </c>
    </row>
    <row r="69" spans="1:52" ht="16.5" customHeight="1" x14ac:dyDescent="0.25">
      <c r="A69" s="114" t="s">
        <v>588</v>
      </c>
      <c r="B69" s="114">
        <v>5</v>
      </c>
      <c r="C69" s="114">
        <v>6</v>
      </c>
      <c r="D69" s="114">
        <v>81</v>
      </c>
      <c r="E69" s="114">
        <f t="shared" si="2"/>
        <v>86</v>
      </c>
      <c r="G69" s="184">
        <v>39</v>
      </c>
      <c r="H69" s="197" t="s">
        <v>1521</v>
      </c>
      <c r="I69" s="194" t="s">
        <v>1522</v>
      </c>
      <c r="J69" s="200" t="s">
        <v>1523</v>
      </c>
      <c r="K69" s="201" t="s">
        <v>1524</v>
      </c>
      <c r="L69" s="193" t="s">
        <v>1525</v>
      </c>
      <c r="M69" s="194" t="s">
        <v>1526</v>
      </c>
      <c r="N69" s="200" t="s">
        <v>1527</v>
      </c>
      <c r="O69" s="201" t="s">
        <v>1528</v>
      </c>
      <c r="P69" s="195" t="s">
        <v>1529</v>
      </c>
      <c r="Q69" s="196" t="s">
        <v>1530</v>
      </c>
      <c r="R69" s="193" t="s">
        <v>1531</v>
      </c>
      <c r="S69" s="194" t="s">
        <v>1532</v>
      </c>
      <c r="T69" s="193" t="s">
        <v>1533</v>
      </c>
      <c r="U69" s="194" t="s">
        <v>1534</v>
      </c>
      <c r="V69" s="193" t="s">
        <v>1535</v>
      </c>
      <c r="W69" s="194" t="s">
        <v>1536</v>
      </c>
      <c r="X69" s="200" t="s">
        <v>1537</v>
      </c>
      <c r="Y69" s="201" t="s">
        <v>1538</v>
      </c>
      <c r="Z69" s="195" t="s">
        <v>1539</v>
      </c>
      <c r="AA69" s="196" t="s">
        <v>1540</v>
      </c>
      <c r="AB69" s="187" t="s">
        <v>1541</v>
      </c>
      <c r="AC69" s="186" t="s">
        <v>1542</v>
      </c>
      <c r="AD69" s="193" t="s">
        <v>1543</v>
      </c>
      <c r="AE69" s="194" t="s">
        <v>1544</v>
      </c>
      <c r="AF69" s="193" t="s">
        <v>1545</v>
      </c>
      <c r="AG69" s="193" t="s">
        <v>1546</v>
      </c>
      <c r="AH69" s="184"/>
      <c r="AI69" s="184"/>
      <c r="AJ69" s="184"/>
      <c r="AK69" s="184"/>
      <c r="AL69" s="184"/>
      <c r="AM69" s="184"/>
      <c r="AN69" s="184"/>
      <c r="AO69" s="184"/>
      <c r="AP69" s="184"/>
      <c r="AQ69" s="184"/>
      <c r="AR69" s="184"/>
      <c r="AS69" s="184"/>
      <c r="AT69" s="184"/>
      <c r="AU69" s="188"/>
      <c r="AW69" s="129">
        <f>IFERROR(IF(AW68+1&gt;BA26,IF(AW68+1&gt;BA26,IF(AZ27+AZ68&gt;BA27,"",AZ27+AZ68)),AW68+1),"")</f>
        <v>40</v>
      </c>
      <c r="AX69" s="129" t="str">
        <f>IFERROR(INDEX(H31:AU181,AW69,AX26),"")</f>
        <v/>
      </c>
      <c r="AY69" s="129" t="str">
        <f>IFERROR(INDEX(H31:AU181,AW69,AY26),"")</f>
        <v/>
      </c>
      <c r="AZ69" s="129">
        <f>IFERROR(IF(AW68+1&gt;BA26,AZ68+1,0),"")</f>
        <v>0</v>
      </c>
    </row>
    <row r="70" spans="1:52" ht="16.5" customHeight="1" x14ac:dyDescent="0.25">
      <c r="A70" s="114" t="s">
        <v>589</v>
      </c>
      <c r="B70" s="114">
        <v>5</v>
      </c>
      <c r="C70" s="114">
        <v>6</v>
      </c>
      <c r="D70" s="114">
        <v>87</v>
      </c>
      <c r="E70" s="114">
        <f t="shared" si="2"/>
        <v>93</v>
      </c>
      <c r="G70" s="184">
        <v>40</v>
      </c>
      <c r="H70" s="197" t="s">
        <v>1547</v>
      </c>
      <c r="I70" s="194" t="s">
        <v>1548</v>
      </c>
      <c r="J70" s="193" t="s">
        <v>1549</v>
      </c>
      <c r="K70" s="194" t="s">
        <v>1550</v>
      </c>
      <c r="L70" s="195" t="s">
        <v>1551</v>
      </c>
      <c r="M70" s="196" t="s">
        <v>1552</v>
      </c>
      <c r="N70" s="193" t="s">
        <v>1553</v>
      </c>
      <c r="O70" s="194" t="s">
        <v>1554</v>
      </c>
      <c r="P70" s="195" t="s">
        <v>1555</v>
      </c>
      <c r="Q70" s="196" t="s">
        <v>1556</v>
      </c>
      <c r="R70" s="193" t="s">
        <v>1557</v>
      </c>
      <c r="S70" s="194" t="s">
        <v>1558</v>
      </c>
      <c r="T70" s="200" t="s">
        <v>1559</v>
      </c>
      <c r="U70" s="201" t="s">
        <v>1560</v>
      </c>
      <c r="V70" s="193" t="s">
        <v>1561</v>
      </c>
      <c r="W70" s="194" t="s">
        <v>1562</v>
      </c>
      <c r="X70" s="200" t="s">
        <v>1563</v>
      </c>
      <c r="Y70" s="201" t="s">
        <v>1564</v>
      </c>
      <c r="Z70" s="195" t="s">
        <v>1565</v>
      </c>
      <c r="AA70" s="196" t="s">
        <v>1566</v>
      </c>
      <c r="AB70" s="187" t="s">
        <v>1567</v>
      </c>
      <c r="AC70" s="186" t="s">
        <v>1568</v>
      </c>
      <c r="AD70" s="193" t="s">
        <v>1569</v>
      </c>
      <c r="AE70" s="194" t="s">
        <v>1570</v>
      </c>
      <c r="AF70" s="193" t="s">
        <v>1571</v>
      </c>
      <c r="AG70" s="193" t="s">
        <v>1572</v>
      </c>
      <c r="AH70" s="184"/>
      <c r="AI70" s="184"/>
      <c r="AJ70" s="184"/>
      <c r="AK70" s="184"/>
      <c r="AL70" s="184"/>
      <c r="AM70" s="184"/>
      <c r="AN70" s="184"/>
      <c r="AO70" s="184"/>
      <c r="AP70" s="184"/>
      <c r="AQ70" s="184"/>
      <c r="AR70" s="184"/>
      <c r="AS70" s="184"/>
      <c r="AT70" s="184"/>
      <c r="AU70" s="188"/>
      <c r="AW70" s="129">
        <f>IFERROR(IF(AW69+1&gt;BA26,IF(AW69+1&gt;BA26,IF(AZ27+AZ69&gt;BA27,"",AZ27+AZ69)),AW69+1),"")</f>
        <v>41</v>
      </c>
      <c r="AX70" s="129" t="str">
        <f>IFERROR(INDEX(H31:AU181,AW70,AX26),"")</f>
        <v/>
      </c>
      <c r="AY70" s="129" t="str">
        <f>IFERROR(INDEX(H31:AU181,AW70,AY26),"")</f>
        <v/>
      </c>
      <c r="AZ70" s="129">
        <f>IFERROR(IF(AW69+1&gt;BA26,AZ69+1,0),"")</f>
        <v>0</v>
      </c>
    </row>
    <row r="71" spans="1:52" ht="16.5" customHeight="1" x14ac:dyDescent="0.25">
      <c r="A71" s="114" t="s">
        <v>590</v>
      </c>
      <c r="B71" s="114">
        <v>5</v>
      </c>
      <c r="C71" s="114">
        <v>6</v>
      </c>
      <c r="D71" s="114">
        <v>94</v>
      </c>
      <c r="E71" s="114">
        <f t="shared" si="2"/>
        <v>100</v>
      </c>
      <c r="G71" s="184">
        <v>41</v>
      </c>
      <c r="H71" s="197" t="s">
        <v>1573</v>
      </c>
      <c r="I71" s="194" t="s">
        <v>1574</v>
      </c>
      <c r="J71" s="193" t="s">
        <v>1575</v>
      </c>
      <c r="K71" s="194" t="s">
        <v>1576</v>
      </c>
      <c r="L71" s="195" t="s">
        <v>1577</v>
      </c>
      <c r="M71" s="196" t="s">
        <v>1578</v>
      </c>
      <c r="N71" s="193" t="s">
        <v>1579</v>
      </c>
      <c r="O71" s="194" t="s">
        <v>1580</v>
      </c>
      <c r="P71" s="195" t="s">
        <v>1581</v>
      </c>
      <c r="Q71" s="196" t="s">
        <v>1582</v>
      </c>
      <c r="R71" s="193" t="s">
        <v>1583</v>
      </c>
      <c r="S71" s="194" t="s">
        <v>1584</v>
      </c>
      <c r="T71" s="200" t="s">
        <v>1585</v>
      </c>
      <c r="U71" s="201" t="s">
        <v>1586</v>
      </c>
      <c r="V71" s="200" t="s">
        <v>1587</v>
      </c>
      <c r="W71" s="201" t="s">
        <v>1588</v>
      </c>
      <c r="X71" s="200" t="s">
        <v>1589</v>
      </c>
      <c r="Y71" s="201" t="s">
        <v>1590</v>
      </c>
      <c r="Z71" s="193" t="s">
        <v>1591</v>
      </c>
      <c r="AA71" s="194" t="s">
        <v>1592</v>
      </c>
      <c r="AB71" s="187" t="s">
        <v>1593</v>
      </c>
      <c r="AC71" s="186" t="s">
        <v>1594</v>
      </c>
      <c r="AD71" s="193" t="s">
        <v>1595</v>
      </c>
      <c r="AE71" s="194" t="s">
        <v>1596</v>
      </c>
      <c r="AF71" s="193" t="s">
        <v>1597</v>
      </c>
      <c r="AG71" s="193" t="s">
        <v>1598</v>
      </c>
      <c r="AH71" s="184"/>
      <c r="AI71" s="184"/>
      <c r="AJ71" s="184"/>
      <c r="AK71" s="184"/>
      <c r="AL71" s="184"/>
      <c r="AM71" s="184"/>
      <c r="AN71" s="184"/>
      <c r="AO71" s="184"/>
      <c r="AP71" s="184"/>
      <c r="AQ71" s="184"/>
      <c r="AR71" s="184"/>
      <c r="AS71" s="184"/>
      <c r="AT71" s="184"/>
      <c r="AU71" s="188"/>
      <c r="AW71" s="129">
        <f>IFERROR(IF(AW70+1&gt;BA26,IF(AW70+1&gt;BA26,IF(AZ27+AZ70&gt;BA27,"",AZ27+AZ70)),AW70+1),"")</f>
        <v>42</v>
      </c>
      <c r="AX71" s="129" t="str">
        <f>IFERROR(INDEX(H31:AU181,AW71,AX26),"")</f>
        <v/>
      </c>
      <c r="AY71" s="129" t="str">
        <f>IFERROR(INDEX(H31:AU181,AW71,AY26),"")</f>
        <v/>
      </c>
      <c r="AZ71" s="129">
        <f>IFERROR(IF(AW70+1&gt;BA26,AZ70+1,0),"")</f>
        <v>0</v>
      </c>
    </row>
    <row r="72" spans="1:52" ht="16.5" customHeight="1" x14ac:dyDescent="0.25">
      <c r="A72" s="114" t="s">
        <v>591</v>
      </c>
      <c r="B72" s="114">
        <v>5</v>
      </c>
      <c r="C72" s="114">
        <v>6</v>
      </c>
      <c r="D72" s="114">
        <v>101</v>
      </c>
      <c r="E72" s="114">
        <v>108</v>
      </c>
      <c r="G72" s="184">
        <v>42</v>
      </c>
      <c r="H72" s="199" t="s">
        <v>1599</v>
      </c>
      <c r="I72" s="196" t="s">
        <v>1600</v>
      </c>
      <c r="J72" s="193" t="s">
        <v>1601</v>
      </c>
      <c r="K72" s="194" t="s">
        <v>1602</v>
      </c>
      <c r="L72" s="195" t="s">
        <v>1127</v>
      </c>
      <c r="M72" s="196" t="s">
        <v>1603</v>
      </c>
      <c r="N72" s="193" t="s">
        <v>1604</v>
      </c>
      <c r="O72" s="194" t="s">
        <v>1605</v>
      </c>
      <c r="P72" s="195" t="s">
        <v>1606</v>
      </c>
      <c r="Q72" s="196" t="s">
        <v>1607</v>
      </c>
      <c r="R72" s="193" t="s">
        <v>1608</v>
      </c>
      <c r="S72" s="194" t="s">
        <v>1609</v>
      </c>
      <c r="T72" s="200" t="s">
        <v>1610</v>
      </c>
      <c r="U72" s="201" t="s">
        <v>1611</v>
      </c>
      <c r="V72" s="200" t="s">
        <v>1612</v>
      </c>
      <c r="W72" s="201" t="s">
        <v>1613</v>
      </c>
      <c r="X72" s="200" t="s">
        <v>1614</v>
      </c>
      <c r="Y72" s="201" t="s">
        <v>1615</v>
      </c>
      <c r="Z72" s="193" t="s">
        <v>1616</v>
      </c>
      <c r="AA72" s="194" t="s">
        <v>1617</v>
      </c>
      <c r="AB72" s="187" t="s">
        <v>1618</v>
      </c>
      <c r="AC72" s="186" t="s">
        <v>1619</v>
      </c>
      <c r="AD72" s="193" t="s">
        <v>1620</v>
      </c>
      <c r="AE72" s="194" t="s">
        <v>1621</v>
      </c>
      <c r="AF72" s="200" t="s">
        <v>1622</v>
      </c>
      <c r="AG72" s="200" t="s">
        <v>1623</v>
      </c>
      <c r="AH72" s="184"/>
      <c r="AI72" s="184"/>
      <c r="AJ72" s="184"/>
      <c r="AK72" s="184"/>
      <c r="AL72" s="184"/>
      <c r="AM72" s="184"/>
      <c r="AN72" s="184"/>
      <c r="AO72" s="184"/>
      <c r="AP72" s="184"/>
      <c r="AQ72" s="184"/>
      <c r="AR72" s="184"/>
      <c r="AS72" s="184"/>
      <c r="AT72" s="184"/>
      <c r="AU72" s="188"/>
      <c r="AW72" s="129">
        <f>IFERROR(IF(AW71+1&gt;BA26,IF(AW71+1&gt;BA26,IF(AZ27+AZ71&gt;BA27,"",AZ27+AZ71)),AW71+1),"")</f>
        <v>43</v>
      </c>
      <c r="AX72" s="129" t="str">
        <f>IFERROR(INDEX(H31:AU181,AW72,AX26),"")</f>
        <v/>
      </c>
      <c r="AY72" s="129" t="str">
        <f>IFERROR(INDEX(H31:AU181,AW72,AY26),"")</f>
        <v/>
      </c>
      <c r="AZ72" s="129">
        <f>IFERROR(IF(AW71+1&gt;BA26,AZ71+1,0),"")</f>
        <v>0</v>
      </c>
    </row>
    <row r="73" spans="1:52" ht="16.5" customHeight="1" x14ac:dyDescent="0.25">
      <c r="A73" s="198" t="s">
        <v>592</v>
      </c>
      <c r="B73" s="198">
        <v>7</v>
      </c>
      <c r="C73" s="198">
        <v>8</v>
      </c>
      <c r="D73" s="198">
        <v>20</v>
      </c>
      <c r="E73" s="198">
        <f>D74-1</f>
        <v>25</v>
      </c>
      <c r="G73" s="184">
        <v>43</v>
      </c>
      <c r="H73" s="199" t="s">
        <v>1624</v>
      </c>
      <c r="I73" s="196" t="s">
        <v>1625</v>
      </c>
      <c r="J73" s="193" t="s">
        <v>1626</v>
      </c>
      <c r="K73" s="194" t="s">
        <v>1627</v>
      </c>
      <c r="L73" s="195" t="s">
        <v>1628</v>
      </c>
      <c r="M73" s="196" t="s">
        <v>1629</v>
      </c>
      <c r="N73" s="193" t="s">
        <v>1630</v>
      </c>
      <c r="O73" s="194" t="s">
        <v>1631</v>
      </c>
      <c r="P73" s="195" t="s">
        <v>1632</v>
      </c>
      <c r="Q73" s="196" t="s">
        <v>1633</v>
      </c>
      <c r="R73" s="193" t="s">
        <v>1634</v>
      </c>
      <c r="S73" s="194" t="s">
        <v>1635</v>
      </c>
      <c r="T73" s="200" t="s">
        <v>1636</v>
      </c>
      <c r="U73" s="201" t="s">
        <v>1637</v>
      </c>
      <c r="V73" s="200" t="s">
        <v>1638</v>
      </c>
      <c r="W73" s="201" t="s">
        <v>1639</v>
      </c>
      <c r="X73" s="193" t="s">
        <v>1640</v>
      </c>
      <c r="Y73" s="194" t="s">
        <v>1641</v>
      </c>
      <c r="Z73" s="193" t="s">
        <v>1642</v>
      </c>
      <c r="AA73" s="194" t="s">
        <v>1643</v>
      </c>
      <c r="AB73" s="187" t="s">
        <v>1644</v>
      </c>
      <c r="AC73" s="186" t="s">
        <v>1645</v>
      </c>
      <c r="AD73" s="193" t="s">
        <v>1646</v>
      </c>
      <c r="AE73" s="194" t="s">
        <v>1647</v>
      </c>
      <c r="AF73" s="200" t="s">
        <v>1648</v>
      </c>
      <c r="AG73" s="200" t="s">
        <v>1649</v>
      </c>
      <c r="AH73" s="184"/>
      <c r="AI73" s="184"/>
      <c r="AJ73" s="184"/>
      <c r="AK73" s="184"/>
      <c r="AL73" s="184"/>
      <c r="AM73" s="184"/>
      <c r="AN73" s="184"/>
      <c r="AO73" s="184"/>
      <c r="AP73" s="184"/>
      <c r="AQ73" s="184"/>
      <c r="AR73" s="184"/>
      <c r="AS73" s="184"/>
      <c r="AT73" s="184"/>
      <c r="AU73" s="188"/>
      <c r="AW73" s="129">
        <f>IFERROR(IF(AW72+1&gt;BA26,IF(AW72+1&gt;BA26,IF(AZ27+AZ72&gt;BA27,"",AZ27+AZ72)),AW72+1),"")</f>
        <v>44</v>
      </c>
      <c r="AX73" s="129" t="str">
        <f>IFERROR(INDEX(H31:AU181,AW73,AX26),"")</f>
        <v/>
      </c>
      <c r="AY73" s="129" t="str">
        <f>IFERROR(INDEX(H31:AU181,AW73,AY26),"")</f>
        <v/>
      </c>
      <c r="AZ73" s="129">
        <f>IFERROR(IF(AW72+1&gt;BA26,AZ72+1,0),"")</f>
        <v>0</v>
      </c>
    </row>
    <row r="74" spans="1:52" ht="16.5" customHeight="1" x14ac:dyDescent="0.25">
      <c r="A74" s="114" t="s">
        <v>593</v>
      </c>
      <c r="B74" s="114">
        <v>7</v>
      </c>
      <c r="C74" s="114">
        <v>8</v>
      </c>
      <c r="D74" s="114">
        <v>26</v>
      </c>
      <c r="E74" s="114">
        <f t="shared" ref="E74:E78" si="3">D75-1</f>
        <v>30</v>
      </c>
      <c r="G74" s="184">
        <v>44</v>
      </c>
      <c r="H74" s="199" t="s">
        <v>1650</v>
      </c>
      <c r="I74" s="196" t="s">
        <v>1651</v>
      </c>
      <c r="J74" s="200" t="s">
        <v>1652</v>
      </c>
      <c r="K74" s="201" t="s">
        <v>1653</v>
      </c>
      <c r="L74" s="195" t="s">
        <v>1654</v>
      </c>
      <c r="M74" s="196" t="s">
        <v>1655</v>
      </c>
      <c r="N74" s="193" t="s">
        <v>1656</v>
      </c>
      <c r="O74" s="194" t="s">
        <v>1657</v>
      </c>
      <c r="P74" s="195" t="s">
        <v>1658</v>
      </c>
      <c r="Q74" s="196" t="s">
        <v>1659</v>
      </c>
      <c r="R74" s="193" t="s">
        <v>1660</v>
      </c>
      <c r="S74" s="194" t="s">
        <v>1661</v>
      </c>
      <c r="T74" s="200" t="s">
        <v>1662</v>
      </c>
      <c r="U74" s="201" t="s">
        <v>1663</v>
      </c>
      <c r="V74" s="200" t="s">
        <v>1664</v>
      </c>
      <c r="W74" s="201" t="s">
        <v>1665</v>
      </c>
      <c r="X74" s="193" t="s">
        <v>1666</v>
      </c>
      <c r="Y74" s="194" t="s">
        <v>1667</v>
      </c>
      <c r="Z74" s="193" t="s">
        <v>1668</v>
      </c>
      <c r="AA74" s="194" t="s">
        <v>1669</v>
      </c>
      <c r="AB74" s="187" t="s">
        <v>1670</v>
      </c>
      <c r="AC74" s="186" t="s">
        <v>1671</v>
      </c>
      <c r="AD74" s="195" t="s">
        <v>1672</v>
      </c>
      <c r="AE74" s="196" t="s">
        <v>1673</v>
      </c>
      <c r="AF74" s="200" t="s">
        <v>1674</v>
      </c>
      <c r="AG74" s="200" t="s">
        <v>1675</v>
      </c>
      <c r="AH74" s="184"/>
      <c r="AI74" s="184"/>
      <c r="AJ74" s="184"/>
      <c r="AK74" s="184"/>
      <c r="AL74" s="184"/>
      <c r="AM74" s="184"/>
      <c r="AN74" s="184"/>
      <c r="AO74" s="184"/>
      <c r="AP74" s="184"/>
      <c r="AQ74" s="184"/>
      <c r="AR74" s="184"/>
      <c r="AS74" s="184"/>
      <c r="AT74" s="184"/>
      <c r="AU74" s="188"/>
      <c r="AW74" s="129">
        <f>IFERROR(IF(AW73+1&gt;BA26,IF(AW73+1&gt;BA26,IF(AZ27+AZ73&gt;BA27,"",AZ27+AZ73)),AW73+1),"")</f>
        <v>45</v>
      </c>
      <c r="AX74" s="129" t="str">
        <f>IFERROR(INDEX(H31:AU181,AW74,AX26),"")</f>
        <v/>
      </c>
      <c r="AY74" s="129" t="str">
        <f>IFERROR(INDEX(H31:AU181,AW74,AY26),"")</f>
        <v/>
      </c>
      <c r="AZ74" s="129">
        <f>IFERROR(IF(AW73+1&gt;BA26,AZ73+1,0),"")</f>
        <v>0</v>
      </c>
    </row>
    <row r="75" spans="1:52" ht="16.5" customHeight="1" x14ac:dyDescent="0.25">
      <c r="A75" s="114" t="s">
        <v>594</v>
      </c>
      <c r="B75" s="114">
        <v>7</v>
      </c>
      <c r="C75" s="114">
        <v>8</v>
      </c>
      <c r="D75" s="114">
        <v>31</v>
      </c>
      <c r="E75" s="114">
        <f t="shared" si="3"/>
        <v>34</v>
      </c>
      <c r="G75" s="184">
        <v>45</v>
      </c>
      <c r="H75" s="199" t="s">
        <v>1676</v>
      </c>
      <c r="I75" s="196" t="s">
        <v>1677</v>
      </c>
      <c r="J75" s="200" t="s">
        <v>1678</v>
      </c>
      <c r="K75" s="201" t="s">
        <v>1679</v>
      </c>
      <c r="L75" s="195" t="s">
        <v>1326</v>
      </c>
      <c r="M75" s="196" t="s">
        <v>1680</v>
      </c>
      <c r="N75" s="193" t="s">
        <v>1681</v>
      </c>
      <c r="O75" s="194" t="s">
        <v>1682</v>
      </c>
      <c r="P75" s="195" t="s">
        <v>1683</v>
      </c>
      <c r="Q75" s="196" t="s">
        <v>1684</v>
      </c>
      <c r="R75" s="193" t="s">
        <v>1685</v>
      </c>
      <c r="S75" s="194" t="s">
        <v>1686</v>
      </c>
      <c r="T75" s="193" t="s">
        <v>1687</v>
      </c>
      <c r="U75" s="194" t="s">
        <v>1688</v>
      </c>
      <c r="V75" s="200" t="s">
        <v>1689</v>
      </c>
      <c r="W75" s="201" t="s">
        <v>1690</v>
      </c>
      <c r="X75" s="193" t="s">
        <v>1691</v>
      </c>
      <c r="Y75" s="194" t="s">
        <v>1692</v>
      </c>
      <c r="Z75" s="193" t="s">
        <v>1693</v>
      </c>
      <c r="AA75" s="194" t="s">
        <v>1694</v>
      </c>
      <c r="AB75" s="187" t="s">
        <v>1695</v>
      </c>
      <c r="AC75" s="186" t="s">
        <v>1696</v>
      </c>
      <c r="AD75" s="195" t="s">
        <v>1697</v>
      </c>
      <c r="AE75" s="196" t="s">
        <v>1698</v>
      </c>
      <c r="AF75" s="200" t="s">
        <v>1699</v>
      </c>
      <c r="AG75" s="200" t="s">
        <v>1700</v>
      </c>
      <c r="AH75" s="184"/>
      <c r="AI75" s="184"/>
      <c r="AJ75" s="184"/>
      <c r="AK75" s="184"/>
      <c r="AL75" s="184"/>
      <c r="AM75" s="184"/>
      <c r="AN75" s="184"/>
      <c r="AO75" s="184"/>
      <c r="AP75" s="184"/>
      <c r="AQ75" s="184"/>
      <c r="AR75" s="184"/>
      <c r="AS75" s="184"/>
      <c r="AT75" s="184"/>
      <c r="AU75" s="188"/>
      <c r="AW75" s="129">
        <f>IFERROR(IF(AW74+1&gt;BA26,IF(AW74+1&gt;BA26,IF(AZ27+AZ74&gt;BA27,"",AZ27+AZ74)),AW74+1),"")</f>
        <v>46</v>
      </c>
      <c r="AX75" s="129" t="str">
        <f>IFERROR(INDEX(H31:AU181,AW75,AX26),"")</f>
        <v/>
      </c>
      <c r="AY75" s="129" t="str">
        <f>IFERROR(INDEX(H31:AU181,AW75,AY26),"")</f>
        <v/>
      </c>
      <c r="AZ75" s="129">
        <f>IFERROR(IF(AW74+1&gt;BA26,AZ74+1,0),"")</f>
        <v>0</v>
      </c>
    </row>
    <row r="76" spans="1:52" ht="16.5" customHeight="1" x14ac:dyDescent="0.25">
      <c r="A76" s="114" t="s">
        <v>595</v>
      </c>
      <c r="B76" s="114">
        <v>7</v>
      </c>
      <c r="C76" s="114">
        <v>8</v>
      </c>
      <c r="D76" s="114">
        <v>35</v>
      </c>
      <c r="E76" s="114">
        <f t="shared" si="3"/>
        <v>39</v>
      </c>
      <c r="G76" s="184">
        <v>46</v>
      </c>
      <c r="H76" s="199" t="s">
        <v>1701</v>
      </c>
      <c r="I76" s="196" t="s">
        <v>1702</v>
      </c>
      <c r="J76" s="200" t="s">
        <v>1703</v>
      </c>
      <c r="K76" s="201" t="s">
        <v>1704</v>
      </c>
      <c r="L76" s="195" t="s">
        <v>1705</v>
      </c>
      <c r="M76" s="196" t="s">
        <v>1706</v>
      </c>
      <c r="N76" s="200" t="s">
        <v>1707</v>
      </c>
      <c r="O76" s="201" t="s">
        <v>1708</v>
      </c>
      <c r="P76" s="195" t="s">
        <v>1709</v>
      </c>
      <c r="Q76" s="196" t="s">
        <v>1710</v>
      </c>
      <c r="R76" s="193" t="s">
        <v>1711</v>
      </c>
      <c r="S76" s="194" t="s">
        <v>1712</v>
      </c>
      <c r="T76" s="193" t="s">
        <v>1713</v>
      </c>
      <c r="U76" s="194" t="s">
        <v>1714</v>
      </c>
      <c r="V76" s="200" t="s">
        <v>1715</v>
      </c>
      <c r="W76" s="201" t="s">
        <v>1716</v>
      </c>
      <c r="X76" s="193" t="s">
        <v>1717</v>
      </c>
      <c r="Y76" s="194" t="s">
        <v>1718</v>
      </c>
      <c r="Z76" s="200" t="s">
        <v>1719</v>
      </c>
      <c r="AA76" s="201" t="s">
        <v>1720</v>
      </c>
      <c r="AB76" s="187" t="s">
        <v>1721</v>
      </c>
      <c r="AC76" s="186" t="s">
        <v>1722</v>
      </c>
      <c r="AD76" s="195" t="s">
        <v>1723</v>
      </c>
      <c r="AE76" s="196" t="s">
        <v>1724</v>
      </c>
      <c r="AF76" s="200" t="s">
        <v>1725</v>
      </c>
      <c r="AG76" s="200" t="s">
        <v>1726</v>
      </c>
      <c r="AH76" s="184"/>
      <c r="AI76" s="184"/>
      <c r="AJ76" s="184"/>
      <c r="AK76" s="184"/>
      <c r="AL76" s="184"/>
      <c r="AM76" s="184"/>
      <c r="AN76" s="184"/>
      <c r="AO76" s="184"/>
      <c r="AP76" s="184"/>
      <c r="AQ76" s="184"/>
      <c r="AR76" s="184"/>
      <c r="AS76" s="184"/>
      <c r="AT76" s="184"/>
      <c r="AU76" s="188"/>
      <c r="AW76" s="129">
        <f>IFERROR(IF(AW75+1&gt;BA26,IF(AW75+1&gt;BA26,IF(AZ27+AZ75&gt;BA27,"",AZ27+AZ75)),AW75+1),"")</f>
        <v>47</v>
      </c>
      <c r="AX76" s="129" t="str">
        <f>IFERROR(INDEX(H31:AU181,AW76,AX26),"")</f>
        <v/>
      </c>
      <c r="AY76" s="129" t="str">
        <f>IFERROR(INDEX(H31:AU181,AW76,AY26),"")</f>
        <v/>
      </c>
      <c r="AZ76" s="129">
        <f>IFERROR(IF(AW75+1&gt;BA26,AZ75+1,0),"")</f>
        <v>0</v>
      </c>
    </row>
    <row r="77" spans="1:52" ht="16.5" customHeight="1" x14ac:dyDescent="0.25">
      <c r="A77" s="114" t="s">
        <v>596</v>
      </c>
      <c r="B77" s="114">
        <v>7</v>
      </c>
      <c r="C77" s="114">
        <v>8</v>
      </c>
      <c r="D77" s="114">
        <v>40</v>
      </c>
      <c r="E77" s="114">
        <f t="shared" si="3"/>
        <v>45</v>
      </c>
      <c r="G77" s="184">
        <v>47</v>
      </c>
      <c r="H77" s="197" t="s">
        <v>1727</v>
      </c>
      <c r="I77" s="194" t="s">
        <v>1728</v>
      </c>
      <c r="J77" s="200" t="s">
        <v>1729</v>
      </c>
      <c r="K77" s="201" t="s">
        <v>1730</v>
      </c>
      <c r="L77" s="193" t="s">
        <v>1731</v>
      </c>
      <c r="M77" s="194" t="s">
        <v>1732</v>
      </c>
      <c r="N77" s="200" t="s">
        <v>1733</v>
      </c>
      <c r="O77" s="201" t="s">
        <v>1734</v>
      </c>
      <c r="P77" s="193" t="s">
        <v>713</v>
      </c>
      <c r="Q77" s="194" t="s">
        <v>1735</v>
      </c>
      <c r="R77" s="193" t="s">
        <v>1736</v>
      </c>
      <c r="S77" s="194" t="s">
        <v>1737</v>
      </c>
      <c r="T77" s="193" t="s">
        <v>1738</v>
      </c>
      <c r="U77" s="194" t="s">
        <v>1739</v>
      </c>
      <c r="V77" s="193" t="s">
        <v>1740</v>
      </c>
      <c r="W77" s="194" t="s">
        <v>1741</v>
      </c>
      <c r="X77" s="193" t="s">
        <v>1742</v>
      </c>
      <c r="Y77" s="194" t="s">
        <v>1743</v>
      </c>
      <c r="Z77" s="200" t="s">
        <v>1744</v>
      </c>
      <c r="AA77" s="201" t="s">
        <v>1745</v>
      </c>
      <c r="AB77" s="187" t="s">
        <v>1746</v>
      </c>
      <c r="AC77" s="186" t="s">
        <v>1747</v>
      </c>
      <c r="AD77" s="195" t="s">
        <v>1748</v>
      </c>
      <c r="AE77" s="196" t="s">
        <v>1749</v>
      </c>
      <c r="AF77" s="200" t="s">
        <v>1750</v>
      </c>
      <c r="AG77" s="200" t="s">
        <v>1751</v>
      </c>
      <c r="AH77" s="184"/>
      <c r="AI77" s="184"/>
      <c r="AJ77" s="184"/>
      <c r="AK77" s="184"/>
      <c r="AL77" s="184"/>
      <c r="AM77" s="184"/>
      <c r="AN77" s="184"/>
      <c r="AO77" s="184"/>
      <c r="AP77" s="184"/>
      <c r="AQ77" s="184"/>
      <c r="AR77" s="184"/>
      <c r="AS77" s="184"/>
      <c r="AT77" s="184"/>
      <c r="AU77" s="188"/>
      <c r="AW77" s="129">
        <f>IFERROR(IF(AW76+1&gt;BA26,IF(AW76+1&gt;BA26,IF(AZ27+AZ76&gt;BA27,"",AZ27+AZ76)),AW76+1),"")</f>
        <v>48</v>
      </c>
      <c r="AX77" s="129" t="str">
        <f>IFERROR(INDEX(H31:AU181,AW77,AX26),"")</f>
        <v/>
      </c>
      <c r="AY77" s="129" t="str">
        <f>IFERROR(INDEX(H31:AU181,AW77,AY26),"")</f>
        <v/>
      </c>
      <c r="AZ77" s="129">
        <f>IFERROR(IF(AW76+1&gt;BA26,AZ76+1,0),"")</f>
        <v>0</v>
      </c>
    </row>
    <row r="78" spans="1:52" ht="16.5" customHeight="1" x14ac:dyDescent="0.25">
      <c r="A78" s="114" t="s">
        <v>597</v>
      </c>
      <c r="B78" s="114">
        <v>7</v>
      </c>
      <c r="C78" s="114">
        <v>8</v>
      </c>
      <c r="D78" s="114">
        <v>46</v>
      </c>
      <c r="E78" s="114">
        <f t="shared" si="3"/>
        <v>50</v>
      </c>
      <c r="G78" s="184">
        <v>48</v>
      </c>
      <c r="H78" s="197" t="s">
        <v>1752</v>
      </c>
      <c r="I78" s="194" t="s">
        <v>1753</v>
      </c>
      <c r="J78" s="193" t="s">
        <v>1754</v>
      </c>
      <c r="K78" s="194" t="s">
        <v>1755</v>
      </c>
      <c r="L78" s="193" t="s">
        <v>1127</v>
      </c>
      <c r="M78" s="194" t="s">
        <v>1756</v>
      </c>
      <c r="N78" s="200" t="s">
        <v>1757</v>
      </c>
      <c r="O78" s="201" t="s">
        <v>1758</v>
      </c>
      <c r="P78" s="193" t="s">
        <v>150</v>
      </c>
      <c r="Q78" s="194" t="s">
        <v>1759</v>
      </c>
      <c r="R78" s="193" t="s">
        <v>1760</v>
      </c>
      <c r="S78" s="194" t="s">
        <v>1761</v>
      </c>
      <c r="T78" s="193" t="s">
        <v>1762</v>
      </c>
      <c r="U78" s="194" t="s">
        <v>1763</v>
      </c>
      <c r="V78" s="193" t="s">
        <v>1764</v>
      </c>
      <c r="W78" s="194" t="s">
        <v>1765</v>
      </c>
      <c r="X78" s="200" t="s">
        <v>1766</v>
      </c>
      <c r="Y78" s="201" t="s">
        <v>1767</v>
      </c>
      <c r="Z78" s="200" t="s">
        <v>1768</v>
      </c>
      <c r="AA78" s="201" t="s">
        <v>1769</v>
      </c>
      <c r="AB78" s="187" t="s">
        <v>1770</v>
      </c>
      <c r="AC78" s="186" t="s">
        <v>1771</v>
      </c>
      <c r="AD78" s="195" t="s">
        <v>1772</v>
      </c>
      <c r="AE78" s="196" t="s">
        <v>1773</v>
      </c>
      <c r="AF78" s="193" t="s">
        <v>1622</v>
      </c>
      <c r="AG78" s="193" t="s">
        <v>1774</v>
      </c>
      <c r="AH78" s="184"/>
      <c r="AI78" s="184"/>
      <c r="AJ78" s="184"/>
      <c r="AK78" s="184"/>
      <c r="AL78" s="184"/>
      <c r="AM78" s="184"/>
      <c r="AN78" s="184"/>
      <c r="AO78" s="184"/>
      <c r="AP78" s="184"/>
      <c r="AQ78" s="184"/>
      <c r="AR78" s="184"/>
      <c r="AS78" s="184"/>
      <c r="AT78" s="184"/>
      <c r="AU78" s="188"/>
      <c r="AW78" s="129">
        <f>IFERROR(IF(AW77+1&gt;BA26,IF(AW77+1&gt;BA26,IF(AZ27+AZ77&gt;BA27,"",AZ27+AZ77)),AW77+1),"")</f>
        <v>49</v>
      </c>
      <c r="AX78" s="129" t="str">
        <f>IFERROR(INDEX(H31:AU181,AW78,AX26),"")</f>
        <v/>
      </c>
      <c r="AY78" s="129" t="str">
        <f>IFERROR(INDEX(H31:AU181,AW78,AY26),"")</f>
        <v/>
      </c>
      <c r="AZ78" s="129">
        <f>IFERROR(IF(AW77+1&gt;BA26,AZ77+1,0),"")</f>
        <v>0</v>
      </c>
    </row>
    <row r="79" spans="1:52" ht="16.5" customHeight="1" x14ac:dyDescent="0.25">
      <c r="A79" s="114" t="s">
        <v>598</v>
      </c>
      <c r="B79" s="114">
        <v>7</v>
      </c>
      <c r="C79" s="114">
        <v>8</v>
      </c>
      <c r="D79" s="114">
        <v>51</v>
      </c>
      <c r="E79" s="114">
        <v>55</v>
      </c>
      <c r="G79" s="184">
        <v>49</v>
      </c>
      <c r="H79" s="197" t="s">
        <v>1775</v>
      </c>
      <c r="I79" s="194" t="s">
        <v>1776</v>
      </c>
      <c r="J79" s="193" t="s">
        <v>1777</v>
      </c>
      <c r="K79" s="194" t="s">
        <v>1778</v>
      </c>
      <c r="L79" s="193" t="s">
        <v>1779</v>
      </c>
      <c r="M79" s="194" t="s">
        <v>1780</v>
      </c>
      <c r="N79" s="200" t="s">
        <v>1781</v>
      </c>
      <c r="O79" s="201" t="s">
        <v>1782</v>
      </c>
      <c r="P79" s="193" t="s">
        <v>133</v>
      </c>
      <c r="Q79" s="194" t="s">
        <v>1783</v>
      </c>
      <c r="R79" s="193" t="s">
        <v>1784</v>
      </c>
      <c r="S79" s="194" t="s">
        <v>1785</v>
      </c>
      <c r="T79" s="193" t="s">
        <v>1786</v>
      </c>
      <c r="U79" s="194" t="s">
        <v>1787</v>
      </c>
      <c r="V79" s="193" t="s">
        <v>1788</v>
      </c>
      <c r="W79" s="194" t="s">
        <v>1789</v>
      </c>
      <c r="X79" s="200" t="s">
        <v>1790</v>
      </c>
      <c r="Y79" s="201" t="s">
        <v>1791</v>
      </c>
      <c r="Z79" s="200" t="s">
        <v>1792</v>
      </c>
      <c r="AA79" s="201" t="s">
        <v>1793</v>
      </c>
      <c r="AB79" s="187" t="s">
        <v>1794</v>
      </c>
      <c r="AC79" s="186" t="s">
        <v>1795</v>
      </c>
      <c r="AD79" s="193" t="s">
        <v>1796</v>
      </c>
      <c r="AE79" s="194" t="s">
        <v>1797</v>
      </c>
      <c r="AF79" s="193" t="s">
        <v>1798</v>
      </c>
      <c r="AG79" s="193" t="s">
        <v>1799</v>
      </c>
      <c r="AH79" s="184"/>
      <c r="AI79" s="184"/>
      <c r="AJ79" s="184"/>
      <c r="AK79" s="184"/>
      <c r="AL79" s="184"/>
      <c r="AM79" s="184"/>
      <c r="AN79" s="184"/>
      <c r="AO79" s="184"/>
      <c r="AP79" s="184"/>
      <c r="AQ79" s="184"/>
      <c r="AR79" s="184"/>
      <c r="AS79" s="184"/>
      <c r="AT79" s="184"/>
      <c r="AU79" s="188"/>
      <c r="AW79" s="129">
        <f>IFERROR(IF(AW78+1&gt;BA26,IF(AW78+1&gt;BA26,IF(AZ27+AZ78&gt;BA27,"",AZ27+AZ78)),AW78+1),"")</f>
        <v>50</v>
      </c>
      <c r="AX79" s="129" t="str">
        <f>IFERROR(INDEX(H31:AU181,AW79,AX26),"")</f>
        <v/>
      </c>
      <c r="AY79" s="129" t="str">
        <f>IFERROR(INDEX(H31:AU181,AW79,AY26),"")</f>
        <v/>
      </c>
      <c r="AZ79" s="129">
        <f>IFERROR(IF(AW78+1&gt;BA26,AZ78+1,0),"")</f>
        <v>0</v>
      </c>
    </row>
    <row r="80" spans="1:52" ht="16.5" customHeight="1" x14ac:dyDescent="0.25">
      <c r="A80" s="198" t="s">
        <v>601</v>
      </c>
      <c r="B80" s="198">
        <v>9</v>
      </c>
      <c r="C80" s="198">
        <v>10</v>
      </c>
      <c r="D80" s="198">
        <v>13</v>
      </c>
      <c r="E80" s="198">
        <f>D81-1</f>
        <v>17</v>
      </c>
      <c r="G80" s="184">
        <v>50</v>
      </c>
      <c r="H80" s="197" t="s">
        <v>1800</v>
      </c>
      <c r="I80" s="194" t="s">
        <v>1801</v>
      </c>
      <c r="J80" s="193" t="s">
        <v>1802</v>
      </c>
      <c r="K80" s="194" t="s">
        <v>1803</v>
      </c>
      <c r="L80" s="193" t="s">
        <v>1804</v>
      </c>
      <c r="M80" s="194" t="s">
        <v>1805</v>
      </c>
      <c r="N80" s="200" t="s">
        <v>1806</v>
      </c>
      <c r="O80" s="201" t="s">
        <v>1807</v>
      </c>
      <c r="P80" s="193" t="s">
        <v>773</v>
      </c>
      <c r="Q80" s="194" t="s">
        <v>1808</v>
      </c>
      <c r="R80" s="193" t="s">
        <v>1809</v>
      </c>
      <c r="S80" s="194" t="s">
        <v>1810</v>
      </c>
      <c r="T80" s="200" t="s">
        <v>1811</v>
      </c>
      <c r="U80" s="201" t="s">
        <v>1812</v>
      </c>
      <c r="V80" s="193" t="s">
        <v>1813</v>
      </c>
      <c r="W80" s="194" t="s">
        <v>1814</v>
      </c>
      <c r="X80" s="200" t="s">
        <v>1815</v>
      </c>
      <c r="Y80" s="201" t="s">
        <v>1816</v>
      </c>
      <c r="Z80" s="200" t="s">
        <v>1817</v>
      </c>
      <c r="AA80" s="201" t="s">
        <v>1818</v>
      </c>
      <c r="AB80" s="187" t="s">
        <v>1819</v>
      </c>
      <c r="AC80" s="186" t="s">
        <v>1820</v>
      </c>
      <c r="AD80" s="193" t="s">
        <v>1821</v>
      </c>
      <c r="AE80" s="194" t="s">
        <v>1822</v>
      </c>
      <c r="AF80" s="193" t="s">
        <v>1823</v>
      </c>
      <c r="AG80" s="193" t="s">
        <v>1824</v>
      </c>
      <c r="AH80" s="184"/>
      <c r="AI80" s="184"/>
      <c r="AJ80" s="184"/>
      <c r="AK80" s="184"/>
      <c r="AL80" s="184"/>
      <c r="AM80" s="184"/>
      <c r="AN80" s="184"/>
      <c r="AO80" s="184"/>
      <c r="AP80" s="184"/>
      <c r="AQ80" s="184"/>
      <c r="AR80" s="184"/>
      <c r="AS80" s="184"/>
      <c r="AT80" s="184"/>
      <c r="AU80" s="188"/>
      <c r="AW80" s="129">
        <f>IFERROR(IF(AW79+1&gt;BA26,IF(AW79+1&gt;BA26,IF(AZ27+AZ79&gt;BA27,"",AZ27+AZ79)),AW79+1),"")</f>
        <v>51</v>
      </c>
      <c r="AX80" s="129" t="str">
        <f>IFERROR(INDEX(H31:AU181,AW80,AX26),"")</f>
        <v/>
      </c>
      <c r="AY80" s="129" t="str">
        <f>IFERROR(INDEX(H31:AU181,AW80,AY26),"")</f>
        <v/>
      </c>
      <c r="AZ80" s="129">
        <f>IFERROR(IF(AW79+1&gt;BA26,AZ79+1,0),"")</f>
        <v>0</v>
      </c>
    </row>
    <row r="81" spans="1:52" ht="16.5" customHeight="1" x14ac:dyDescent="0.25">
      <c r="A81" s="114" t="s">
        <v>602</v>
      </c>
      <c r="B81" s="114">
        <v>9</v>
      </c>
      <c r="C81" s="114">
        <v>10</v>
      </c>
      <c r="D81" s="114">
        <v>18</v>
      </c>
      <c r="E81" s="114">
        <f t="shared" ref="E81:E88" si="4">D82-1</f>
        <v>46</v>
      </c>
      <c r="G81" s="184">
        <v>51</v>
      </c>
      <c r="H81" s="197" t="s">
        <v>1825</v>
      </c>
      <c r="I81" s="194" t="s">
        <v>1826</v>
      </c>
      <c r="J81" s="193" t="s">
        <v>1827</v>
      </c>
      <c r="K81" s="194" t="s">
        <v>1828</v>
      </c>
      <c r="L81" s="193" t="s">
        <v>1829</v>
      </c>
      <c r="M81" s="194" t="s">
        <v>1830</v>
      </c>
      <c r="N81" s="193" t="s">
        <v>1831</v>
      </c>
      <c r="O81" s="194" t="s">
        <v>1832</v>
      </c>
      <c r="P81" s="193" t="s">
        <v>775</v>
      </c>
      <c r="Q81" s="194" t="s">
        <v>1833</v>
      </c>
      <c r="R81" s="193" t="s">
        <v>1834</v>
      </c>
      <c r="S81" s="194" t="s">
        <v>1835</v>
      </c>
      <c r="T81" s="200" t="s">
        <v>1836</v>
      </c>
      <c r="U81" s="201" t="s">
        <v>1837</v>
      </c>
      <c r="V81" s="193" t="s">
        <v>1838</v>
      </c>
      <c r="W81" s="194" t="s">
        <v>1839</v>
      </c>
      <c r="X81" s="200" t="s">
        <v>1840</v>
      </c>
      <c r="Y81" s="201" t="s">
        <v>1841</v>
      </c>
      <c r="Z81" s="193" t="s">
        <v>1842</v>
      </c>
      <c r="AA81" s="194" t="s">
        <v>1843</v>
      </c>
      <c r="AB81" s="187" t="s">
        <v>1844</v>
      </c>
      <c r="AC81" s="186" t="s">
        <v>1845</v>
      </c>
      <c r="AD81" s="193" t="s">
        <v>1846</v>
      </c>
      <c r="AE81" s="194" t="s">
        <v>1847</v>
      </c>
      <c r="AF81" s="193" t="s">
        <v>1848</v>
      </c>
      <c r="AG81" s="193" t="s">
        <v>1849</v>
      </c>
      <c r="AH81" s="184"/>
      <c r="AI81" s="184"/>
      <c r="AJ81" s="184"/>
      <c r="AK81" s="184"/>
      <c r="AL81" s="184"/>
      <c r="AM81" s="184"/>
      <c r="AN81" s="184"/>
      <c r="AO81" s="184"/>
      <c r="AP81" s="184"/>
      <c r="AQ81" s="184"/>
      <c r="AR81" s="184"/>
      <c r="AS81" s="184"/>
      <c r="AT81" s="184"/>
      <c r="AU81" s="188"/>
      <c r="AW81" s="129">
        <f>IFERROR(IF(AW80+1&gt;BA26,IF(AW80+1&gt;BA26,IF(AZ27+AZ80&gt;BA27,"",AZ27+AZ80)),AW80+1),"")</f>
        <v>52</v>
      </c>
      <c r="AX81" s="129" t="str">
        <f>IFERROR(INDEX(H31:AU181,AW81,AX26),"")</f>
        <v/>
      </c>
      <c r="AY81" s="129" t="str">
        <f>IFERROR(INDEX(H31:AU181,AW81,AY26),"")</f>
        <v/>
      </c>
      <c r="AZ81" s="129">
        <f>IFERROR(IF(AW80+1&gt;BA26,AZ80+1,0),"")</f>
        <v>0</v>
      </c>
    </row>
    <row r="82" spans="1:52" ht="16.5" customHeight="1" x14ac:dyDescent="0.25">
      <c r="A82" s="114" t="s">
        <v>600</v>
      </c>
      <c r="B82" s="114">
        <v>9</v>
      </c>
      <c r="C82" s="114">
        <v>10</v>
      </c>
      <c r="D82" s="114">
        <v>47</v>
      </c>
      <c r="E82" s="114">
        <f t="shared" si="4"/>
        <v>56</v>
      </c>
      <c r="G82" s="184">
        <v>52</v>
      </c>
      <c r="H82" s="199" t="s">
        <v>1850</v>
      </c>
      <c r="I82" s="196" t="s">
        <v>1851</v>
      </c>
      <c r="J82" s="193" t="s">
        <v>1852</v>
      </c>
      <c r="K82" s="194" t="s">
        <v>1853</v>
      </c>
      <c r="L82" s="193" t="s">
        <v>1326</v>
      </c>
      <c r="M82" s="194" t="s">
        <v>1854</v>
      </c>
      <c r="N82" s="193" t="s">
        <v>1855</v>
      </c>
      <c r="O82" s="194" t="s">
        <v>1856</v>
      </c>
      <c r="P82" s="193" t="s">
        <v>1857</v>
      </c>
      <c r="Q82" s="194" t="s">
        <v>1858</v>
      </c>
      <c r="R82" s="193" t="s">
        <v>1859</v>
      </c>
      <c r="S82" s="194" t="s">
        <v>1860</v>
      </c>
      <c r="T82" s="200" t="s">
        <v>1861</v>
      </c>
      <c r="U82" s="201" t="s">
        <v>1862</v>
      </c>
      <c r="V82" s="193" t="s">
        <v>1863</v>
      </c>
      <c r="W82" s="194" t="s">
        <v>1864</v>
      </c>
      <c r="X82" s="200" t="s">
        <v>1865</v>
      </c>
      <c r="Y82" s="201" t="s">
        <v>1866</v>
      </c>
      <c r="Z82" s="193" t="s">
        <v>1867</v>
      </c>
      <c r="AA82" s="194" t="s">
        <v>1868</v>
      </c>
      <c r="AB82" s="202" t="s">
        <v>1869</v>
      </c>
      <c r="AC82" s="203" t="s">
        <v>1870</v>
      </c>
      <c r="AD82" s="193" t="s">
        <v>1871</v>
      </c>
      <c r="AE82" s="194" t="s">
        <v>1872</v>
      </c>
      <c r="AF82" s="193" t="s">
        <v>1873</v>
      </c>
      <c r="AG82" s="193" t="s">
        <v>1874</v>
      </c>
      <c r="AH82" s="184"/>
      <c r="AI82" s="184"/>
      <c r="AJ82" s="184"/>
      <c r="AK82" s="184"/>
      <c r="AL82" s="184"/>
      <c r="AM82" s="184"/>
      <c r="AN82" s="184"/>
      <c r="AO82" s="184"/>
      <c r="AP82" s="184"/>
      <c r="AQ82" s="184"/>
      <c r="AR82" s="184"/>
      <c r="AS82" s="184"/>
      <c r="AT82" s="184"/>
      <c r="AU82" s="188"/>
      <c r="AW82" s="129">
        <f>IFERROR(IF(AW81+1&gt;BA26,IF(AW81+1&gt;BA26,IF(AZ27+AZ81&gt;BA27,"",AZ27+AZ81)),AW81+1),"")</f>
        <v>53</v>
      </c>
      <c r="AX82" s="129" t="str">
        <f>IFERROR(INDEX(H31:AU181,AW82,AX26),"")</f>
        <v/>
      </c>
      <c r="AY82" s="129" t="str">
        <f>IFERROR(INDEX(H31:AU181,AW82,AY26),"")</f>
        <v/>
      </c>
      <c r="AZ82" s="129">
        <f>IFERROR(IF(AW81+1&gt;BA26,AZ81+1,0),"")</f>
        <v>0</v>
      </c>
    </row>
    <row r="83" spans="1:52" ht="16.5" customHeight="1" x14ac:dyDescent="0.25">
      <c r="A83" s="114" t="s">
        <v>64</v>
      </c>
      <c r="B83" s="114">
        <v>9</v>
      </c>
      <c r="C83" s="114">
        <v>10</v>
      </c>
      <c r="D83" s="114">
        <v>57</v>
      </c>
      <c r="E83" s="114">
        <f t="shared" si="4"/>
        <v>69</v>
      </c>
      <c r="G83" s="184">
        <v>53</v>
      </c>
      <c r="H83" s="199" t="s">
        <v>1875</v>
      </c>
      <c r="I83" s="196" t="s">
        <v>1876</v>
      </c>
      <c r="J83" s="200" t="s">
        <v>1877</v>
      </c>
      <c r="K83" s="201" t="s">
        <v>1878</v>
      </c>
      <c r="L83" s="193" t="s">
        <v>1879</v>
      </c>
      <c r="M83" s="194" t="s">
        <v>1880</v>
      </c>
      <c r="N83" s="193" t="s">
        <v>1881</v>
      </c>
      <c r="O83" s="194" t="s">
        <v>1882</v>
      </c>
      <c r="P83" s="193" t="s">
        <v>676</v>
      </c>
      <c r="Q83" s="194" t="s">
        <v>1883</v>
      </c>
      <c r="R83" s="193" t="s">
        <v>1884</v>
      </c>
      <c r="S83" s="194" t="s">
        <v>1885</v>
      </c>
      <c r="T83" s="200" t="s">
        <v>1886</v>
      </c>
      <c r="U83" s="201" t="s">
        <v>1887</v>
      </c>
      <c r="V83" s="200" t="s">
        <v>1888</v>
      </c>
      <c r="W83" s="201" t="s">
        <v>1889</v>
      </c>
      <c r="X83" s="193" t="s">
        <v>1890</v>
      </c>
      <c r="Y83" s="194" t="s">
        <v>1891</v>
      </c>
      <c r="Z83" s="193" t="s">
        <v>1892</v>
      </c>
      <c r="AA83" s="194" t="s">
        <v>1893</v>
      </c>
      <c r="AB83" s="202" t="s">
        <v>1894</v>
      </c>
      <c r="AC83" s="203" t="s">
        <v>1895</v>
      </c>
      <c r="AD83" s="193" t="s">
        <v>1896</v>
      </c>
      <c r="AE83" s="194" t="s">
        <v>1897</v>
      </c>
      <c r="AF83" s="193" t="s">
        <v>1898</v>
      </c>
      <c r="AG83" s="193" t="s">
        <v>1899</v>
      </c>
      <c r="AH83" s="184"/>
      <c r="AI83" s="184"/>
      <c r="AJ83" s="184"/>
      <c r="AK83" s="184"/>
      <c r="AL83" s="184"/>
      <c r="AM83" s="184"/>
      <c r="AN83" s="184"/>
      <c r="AO83" s="184"/>
      <c r="AP83" s="184"/>
      <c r="AQ83" s="184"/>
      <c r="AR83" s="184"/>
      <c r="AS83" s="184"/>
      <c r="AT83" s="184"/>
      <c r="AU83" s="188"/>
      <c r="AW83" s="129">
        <f>IFERROR(IF(AW82+1&gt;BA26,IF(AW82+1&gt;BA26,IF(AZ27+AZ82&gt;BA27,"",AZ27+AZ82)),AW82+1),"")</f>
        <v>54</v>
      </c>
      <c r="AX83" s="129" t="str">
        <f>IFERROR(INDEX(H31:AU181,AW83,AX26),"")</f>
        <v/>
      </c>
      <c r="AY83" s="129" t="str">
        <f>IFERROR(INDEX(H31:AU181,AW83,AY26),"")</f>
        <v/>
      </c>
      <c r="AZ83" s="129">
        <f>IFERROR(IF(AW82+1&gt;BA26,AZ82+1,0),"")</f>
        <v>0</v>
      </c>
    </row>
    <row r="84" spans="1:52" ht="16.5" customHeight="1" x14ac:dyDescent="0.25">
      <c r="A84" s="114" t="s">
        <v>603</v>
      </c>
      <c r="B84" s="114">
        <v>9</v>
      </c>
      <c r="C84" s="114">
        <v>10</v>
      </c>
      <c r="D84" s="114">
        <v>70</v>
      </c>
      <c r="E84" s="114">
        <f t="shared" si="4"/>
        <v>76</v>
      </c>
      <c r="G84" s="184">
        <v>54</v>
      </c>
      <c r="H84" s="204" t="s">
        <v>1900</v>
      </c>
      <c r="I84" s="196" t="s">
        <v>1901</v>
      </c>
      <c r="J84" s="200" t="s">
        <v>1902</v>
      </c>
      <c r="K84" s="201" t="s">
        <v>1903</v>
      </c>
      <c r="L84" s="195" t="s">
        <v>1904</v>
      </c>
      <c r="M84" s="196" t="s">
        <v>1905</v>
      </c>
      <c r="N84" s="193" t="s">
        <v>1906</v>
      </c>
      <c r="O84" s="194" t="s">
        <v>1907</v>
      </c>
      <c r="P84" s="193" t="s">
        <v>1908</v>
      </c>
      <c r="Q84" s="194" t="s">
        <v>1909</v>
      </c>
      <c r="R84" s="193" t="s">
        <v>1910</v>
      </c>
      <c r="S84" s="194" t="s">
        <v>1911</v>
      </c>
      <c r="T84" s="200" t="s">
        <v>1912</v>
      </c>
      <c r="U84" s="201" t="s">
        <v>1913</v>
      </c>
      <c r="V84" s="200" t="s">
        <v>1914</v>
      </c>
      <c r="W84" s="201" t="s">
        <v>1915</v>
      </c>
      <c r="X84" s="193" t="s">
        <v>1916</v>
      </c>
      <c r="Y84" s="194" t="s">
        <v>1917</v>
      </c>
      <c r="Z84" s="193" t="s">
        <v>1918</v>
      </c>
      <c r="AA84" s="194" t="s">
        <v>1919</v>
      </c>
      <c r="AB84" s="202" t="s">
        <v>1920</v>
      </c>
      <c r="AC84" s="203" t="s">
        <v>1921</v>
      </c>
      <c r="AD84" s="195" t="s">
        <v>1922</v>
      </c>
      <c r="AE84" s="196" t="s">
        <v>1923</v>
      </c>
      <c r="AF84" s="200" t="s">
        <v>1622</v>
      </c>
      <c r="AG84" s="200" t="s">
        <v>1924</v>
      </c>
      <c r="AH84" s="184"/>
      <c r="AI84" s="184"/>
      <c r="AJ84" s="184"/>
      <c r="AK84" s="184"/>
      <c r="AL84" s="184"/>
      <c r="AM84" s="184"/>
      <c r="AN84" s="184"/>
      <c r="AO84" s="184"/>
      <c r="AP84" s="184"/>
      <c r="AQ84" s="184"/>
      <c r="AR84" s="184"/>
      <c r="AS84" s="184"/>
      <c r="AT84" s="184"/>
      <c r="AU84" s="188"/>
      <c r="AW84" s="129">
        <f>IFERROR(IF(AW83+1&gt;BA26,IF(AW83+1&gt;BA26,IF(AZ27+AZ83&gt;BA27,"",AZ27+AZ83)),AW83+1),"")</f>
        <v>55</v>
      </c>
      <c r="AX84" s="129" t="str">
        <f>IFERROR(INDEX(H31:AU181,AW84,AX26),"")</f>
        <v/>
      </c>
      <c r="AY84" s="129" t="str">
        <f>IFERROR(INDEX(H31:AU181,AW84,AY26),"")</f>
        <v/>
      </c>
      <c r="AZ84" s="129">
        <f>IFERROR(IF(AW83+1&gt;BA26,AZ83+1,0),"")</f>
        <v>0</v>
      </c>
    </row>
    <row r="85" spans="1:52" ht="16.5" customHeight="1" x14ac:dyDescent="0.25">
      <c r="A85" s="114" t="s">
        <v>604</v>
      </c>
      <c r="B85" s="114">
        <v>9</v>
      </c>
      <c r="C85" s="114">
        <v>10</v>
      </c>
      <c r="D85" s="114">
        <v>77</v>
      </c>
      <c r="E85" s="114">
        <f t="shared" si="4"/>
        <v>82</v>
      </c>
      <c r="G85" s="184">
        <v>55</v>
      </c>
      <c r="H85" s="199" t="s">
        <v>1925</v>
      </c>
      <c r="I85" s="196" t="s">
        <v>1926</v>
      </c>
      <c r="J85" s="200" t="s">
        <v>1927</v>
      </c>
      <c r="K85" s="201" t="s">
        <v>1928</v>
      </c>
      <c r="L85" s="195" t="s">
        <v>1929</v>
      </c>
      <c r="M85" s="196" t="s">
        <v>1930</v>
      </c>
      <c r="N85" s="193" t="s">
        <v>1931</v>
      </c>
      <c r="O85" s="194" t="s">
        <v>1932</v>
      </c>
      <c r="P85" s="193" t="s">
        <v>1933</v>
      </c>
      <c r="Q85" s="194" t="s">
        <v>1934</v>
      </c>
      <c r="R85" s="193" t="s">
        <v>1935</v>
      </c>
      <c r="S85" s="194" t="s">
        <v>1936</v>
      </c>
      <c r="T85" s="193" t="s">
        <v>1937</v>
      </c>
      <c r="U85" s="194" t="s">
        <v>1938</v>
      </c>
      <c r="V85" s="200" t="s">
        <v>1939</v>
      </c>
      <c r="W85" s="201" t="s">
        <v>1940</v>
      </c>
      <c r="X85" s="193" t="s">
        <v>1941</v>
      </c>
      <c r="Y85" s="194" t="s">
        <v>1942</v>
      </c>
      <c r="Z85" s="193" t="s">
        <v>1943</v>
      </c>
      <c r="AA85" s="194" t="s">
        <v>1944</v>
      </c>
      <c r="AB85" s="202" t="s">
        <v>1945</v>
      </c>
      <c r="AC85" s="203" t="s">
        <v>1946</v>
      </c>
      <c r="AD85" s="195" t="s">
        <v>1947</v>
      </c>
      <c r="AE85" s="196" t="s">
        <v>1948</v>
      </c>
      <c r="AF85" s="200" t="s">
        <v>1949</v>
      </c>
      <c r="AG85" s="200" t="s">
        <v>1950</v>
      </c>
      <c r="AH85" s="184"/>
      <c r="AI85" s="184"/>
      <c r="AJ85" s="184"/>
      <c r="AK85" s="184"/>
      <c r="AL85" s="184"/>
      <c r="AM85" s="184"/>
      <c r="AN85" s="184"/>
      <c r="AO85" s="184"/>
      <c r="AP85" s="184"/>
      <c r="AQ85" s="184"/>
      <c r="AR85" s="184"/>
      <c r="AS85" s="184"/>
      <c r="AT85" s="184"/>
      <c r="AU85" s="188"/>
      <c r="AW85" s="129">
        <f>IFERROR(IF(AW84+1&gt;BA26,IF(AW84+1&gt;BA26,IF(AZ27+AZ84&gt;BA27,"",AZ27+AZ84)),AW84+1),"")</f>
        <v>56</v>
      </c>
      <c r="AX85" s="129" t="str">
        <f>IFERROR(INDEX(H31:AU181,AW85,AX26),"")</f>
        <v/>
      </c>
      <c r="AY85" s="129" t="str">
        <f>IFERROR(INDEX(H31:AU181,AW85,AY26),"")</f>
        <v/>
      </c>
      <c r="AZ85" s="129">
        <f>IFERROR(IF(AW84+1&gt;BA26,AZ84+1,0),"")</f>
        <v>0</v>
      </c>
    </row>
    <row r="86" spans="1:52" ht="16.5" customHeight="1" x14ac:dyDescent="0.25">
      <c r="A86" s="114" t="s">
        <v>605</v>
      </c>
      <c r="B86" s="114">
        <v>9</v>
      </c>
      <c r="C86" s="114">
        <v>10</v>
      </c>
      <c r="D86" s="114">
        <v>83</v>
      </c>
      <c r="E86" s="114">
        <f t="shared" si="4"/>
        <v>87</v>
      </c>
      <c r="G86" s="184">
        <v>56</v>
      </c>
      <c r="H86" s="199" t="s">
        <v>1951</v>
      </c>
      <c r="I86" s="196" t="s">
        <v>1952</v>
      </c>
      <c r="J86" s="200" t="s">
        <v>1953</v>
      </c>
      <c r="K86" s="201" t="s">
        <v>1954</v>
      </c>
      <c r="L86" s="195" t="s">
        <v>1955</v>
      </c>
      <c r="M86" s="196" t="s">
        <v>1956</v>
      </c>
      <c r="N86" s="184"/>
      <c r="O86" s="184"/>
      <c r="P86" s="193" t="s">
        <v>1957</v>
      </c>
      <c r="Q86" s="194" t="s">
        <v>1958</v>
      </c>
      <c r="R86" s="200" t="s">
        <v>1959</v>
      </c>
      <c r="S86" s="201" t="s">
        <v>1960</v>
      </c>
      <c r="T86" s="193" t="s">
        <v>1961</v>
      </c>
      <c r="U86" s="194" t="s">
        <v>1962</v>
      </c>
      <c r="V86" s="200" t="s">
        <v>1963</v>
      </c>
      <c r="W86" s="201" t="s">
        <v>1964</v>
      </c>
      <c r="X86" s="193" t="s">
        <v>1965</v>
      </c>
      <c r="Y86" s="194" t="s">
        <v>1966</v>
      </c>
      <c r="Z86" s="193" t="s">
        <v>1967</v>
      </c>
      <c r="AA86" s="194" t="s">
        <v>1968</v>
      </c>
      <c r="AB86" s="202" t="s">
        <v>1969</v>
      </c>
      <c r="AC86" s="203" t="s">
        <v>1970</v>
      </c>
      <c r="AD86" s="195" t="s">
        <v>1971</v>
      </c>
      <c r="AE86" s="196" t="s">
        <v>1972</v>
      </c>
      <c r="AF86" s="200" t="s">
        <v>1973</v>
      </c>
      <c r="AG86" s="200" t="s">
        <v>1974</v>
      </c>
      <c r="AH86" s="184"/>
      <c r="AI86" s="184"/>
      <c r="AJ86" s="184"/>
      <c r="AK86" s="184"/>
      <c r="AL86" s="184"/>
      <c r="AM86" s="184"/>
      <c r="AN86" s="184"/>
      <c r="AO86" s="184"/>
      <c r="AP86" s="184"/>
      <c r="AQ86" s="184"/>
      <c r="AR86" s="184"/>
      <c r="AS86" s="184"/>
      <c r="AT86" s="184"/>
      <c r="AU86" s="188"/>
      <c r="AW86" s="129">
        <f>IFERROR(IF(AW85+1&gt;BA26,IF(AW85+1&gt;BA26,IF(AZ27+AZ85&gt;BA27,"",AZ27+AZ85)),AW85+1),"")</f>
        <v>57</v>
      </c>
      <c r="AX86" s="129" t="str">
        <f>IFERROR(INDEX(H31:AU181,AW86,AX26),"")</f>
        <v/>
      </c>
      <c r="AY86" s="129" t="str">
        <f>IFERROR(INDEX(H31:AU181,AW86,AY26),"")</f>
        <v/>
      </c>
      <c r="AZ86" s="129">
        <f>IFERROR(IF(AW85+1&gt;BA26,AZ85+1,0),"")</f>
        <v>0</v>
      </c>
    </row>
    <row r="87" spans="1:52" ht="16.5" customHeight="1" x14ac:dyDescent="0.25">
      <c r="A87" s="114" t="s">
        <v>606</v>
      </c>
      <c r="B87" s="114">
        <v>9</v>
      </c>
      <c r="C87" s="114">
        <v>10</v>
      </c>
      <c r="D87" s="114">
        <v>88</v>
      </c>
      <c r="E87" s="114">
        <f t="shared" si="4"/>
        <v>93</v>
      </c>
      <c r="G87" s="184">
        <v>57</v>
      </c>
      <c r="H87" s="197" t="s">
        <v>1975</v>
      </c>
      <c r="I87" s="194" t="s">
        <v>1976</v>
      </c>
      <c r="J87" s="200" t="s">
        <v>1977</v>
      </c>
      <c r="K87" s="201" t="s">
        <v>1978</v>
      </c>
      <c r="L87" s="195" t="s">
        <v>1979</v>
      </c>
      <c r="M87" s="196" t="s">
        <v>1980</v>
      </c>
      <c r="N87" s="184"/>
      <c r="O87" s="184"/>
      <c r="P87" s="200" t="s">
        <v>95</v>
      </c>
      <c r="Q87" s="201" t="s">
        <v>1981</v>
      </c>
      <c r="R87" s="200" t="s">
        <v>1982</v>
      </c>
      <c r="S87" s="201" t="s">
        <v>1983</v>
      </c>
      <c r="T87" s="193" t="s">
        <v>1984</v>
      </c>
      <c r="U87" s="194" t="s">
        <v>1985</v>
      </c>
      <c r="V87" s="200" t="s">
        <v>1986</v>
      </c>
      <c r="W87" s="201" t="s">
        <v>1987</v>
      </c>
      <c r="X87" s="193" t="s">
        <v>1988</v>
      </c>
      <c r="Y87" s="194" t="s">
        <v>1989</v>
      </c>
      <c r="Z87" s="200" t="s">
        <v>1990</v>
      </c>
      <c r="AA87" s="201" t="s">
        <v>1991</v>
      </c>
      <c r="AB87" s="202" t="s">
        <v>1992</v>
      </c>
      <c r="AC87" s="203" t="s">
        <v>1993</v>
      </c>
      <c r="AD87" s="195" t="s">
        <v>1994</v>
      </c>
      <c r="AE87" s="196" t="s">
        <v>1995</v>
      </c>
      <c r="AF87" s="200" t="s">
        <v>1996</v>
      </c>
      <c r="AG87" s="200" t="s">
        <v>1997</v>
      </c>
      <c r="AH87" s="184"/>
      <c r="AI87" s="184"/>
      <c r="AJ87" s="184"/>
      <c r="AK87" s="184"/>
      <c r="AL87" s="184"/>
      <c r="AM87" s="184"/>
      <c r="AN87" s="184"/>
      <c r="AO87" s="184"/>
      <c r="AP87" s="184"/>
      <c r="AQ87" s="184"/>
      <c r="AR87" s="184"/>
      <c r="AS87" s="184"/>
      <c r="AT87" s="184"/>
      <c r="AU87" s="188"/>
      <c r="AW87" s="129">
        <f>IFERROR(IF(AW86+1&gt;BA26,IF(AW86+1&gt;BA26,IF(AZ27+AZ86&gt;BA27,"",AZ27+AZ86)),AW86+1),"")</f>
        <v>58</v>
      </c>
      <c r="AX87" s="129" t="str">
        <f>IFERROR(INDEX(H31:AU181,AW87,AX26),"")</f>
        <v/>
      </c>
      <c r="AY87" s="129" t="str">
        <f>IFERROR(INDEX(H31:AU181,AW87,AY26),"")</f>
        <v/>
      </c>
      <c r="AZ87" s="129">
        <f>IFERROR(IF(AW86+1&gt;BA26,AZ86+1,0),"")</f>
        <v>0</v>
      </c>
    </row>
    <row r="88" spans="1:52" ht="16.5" customHeight="1" x14ac:dyDescent="0.25">
      <c r="A88" s="114" t="s">
        <v>607</v>
      </c>
      <c r="B88" s="114">
        <v>9</v>
      </c>
      <c r="C88" s="114">
        <v>10</v>
      </c>
      <c r="D88" s="114">
        <v>94</v>
      </c>
      <c r="E88" s="114">
        <f t="shared" si="4"/>
        <v>106</v>
      </c>
      <c r="G88" s="184">
        <v>58</v>
      </c>
      <c r="H88" s="197" t="s">
        <v>1998</v>
      </c>
      <c r="I88" s="194" t="s">
        <v>1999</v>
      </c>
      <c r="J88" s="200" t="s">
        <v>2000</v>
      </c>
      <c r="K88" s="201" t="s">
        <v>2001</v>
      </c>
      <c r="L88" s="195" t="s">
        <v>1326</v>
      </c>
      <c r="M88" s="196" t="s">
        <v>2002</v>
      </c>
      <c r="N88" s="184"/>
      <c r="O88" s="184"/>
      <c r="P88" s="200" t="s">
        <v>96</v>
      </c>
      <c r="Q88" s="201" t="s">
        <v>2003</v>
      </c>
      <c r="R88" s="200" t="s">
        <v>2004</v>
      </c>
      <c r="S88" s="201" t="s">
        <v>2005</v>
      </c>
      <c r="T88" s="193" t="s">
        <v>2006</v>
      </c>
      <c r="U88" s="194" t="s">
        <v>2007</v>
      </c>
      <c r="V88" s="193" t="s">
        <v>2008</v>
      </c>
      <c r="W88" s="194" t="s">
        <v>2009</v>
      </c>
      <c r="X88" s="200" t="s">
        <v>2010</v>
      </c>
      <c r="Y88" s="201" t="s">
        <v>2011</v>
      </c>
      <c r="Z88" s="200" t="s">
        <v>2012</v>
      </c>
      <c r="AA88" s="201" t="s">
        <v>2013</v>
      </c>
      <c r="AB88" s="202" t="s">
        <v>2014</v>
      </c>
      <c r="AC88" s="203" t="s">
        <v>2015</v>
      </c>
      <c r="AD88" s="195" t="s">
        <v>2016</v>
      </c>
      <c r="AE88" s="196" t="s">
        <v>2017</v>
      </c>
      <c r="AF88" s="200" t="s">
        <v>846</v>
      </c>
      <c r="AG88" s="200" t="s">
        <v>847</v>
      </c>
      <c r="AH88" s="184"/>
      <c r="AI88" s="184"/>
      <c r="AJ88" s="184"/>
      <c r="AK88" s="184"/>
      <c r="AL88" s="184"/>
      <c r="AM88" s="184"/>
      <c r="AN88" s="184"/>
      <c r="AO88" s="184"/>
      <c r="AP88" s="184"/>
      <c r="AQ88" s="184"/>
      <c r="AR88" s="184"/>
      <c r="AS88" s="184"/>
      <c r="AT88" s="184"/>
      <c r="AU88" s="188"/>
      <c r="AW88" s="129">
        <f>IFERROR(IF(AW87+1&gt;BA26,IF(AW87+1&gt;BA26,IF(AZ27+AZ87&gt;BA27,"",AZ27+AZ87)),AW87+1),"")</f>
        <v>59</v>
      </c>
      <c r="AX88" s="129" t="str">
        <f>IFERROR(INDEX(H31:AU181,AW88,AX26),"")</f>
        <v/>
      </c>
      <c r="AY88" s="129" t="str">
        <f>IFERROR(INDEX(H31:AU181,AW88,AY26),"")</f>
        <v/>
      </c>
      <c r="AZ88" s="129">
        <f>IFERROR(IF(AW87+1&gt;BA26,AZ87+1,0),"")</f>
        <v>0</v>
      </c>
    </row>
    <row r="89" spans="1:52" ht="16.5" customHeight="1" x14ac:dyDescent="0.25">
      <c r="A89" s="114" t="s">
        <v>608</v>
      </c>
      <c r="B89" s="114">
        <v>9</v>
      </c>
      <c r="C89" s="114">
        <v>10</v>
      </c>
      <c r="D89" s="114">
        <v>107</v>
      </c>
      <c r="E89" s="114">
        <v>111</v>
      </c>
      <c r="G89" s="184">
        <v>59</v>
      </c>
      <c r="H89" s="197" t="s">
        <v>2018</v>
      </c>
      <c r="I89" s="194" t="s">
        <v>2019</v>
      </c>
      <c r="J89" s="184"/>
      <c r="K89" s="184"/>
      <c r="L89" s="195" t="s">
        <v>2020</v>
      </c>
      <c r="M89" s="196" t="s">
        <v>2021</v>
      </c>
      <c r="N89" s="184"/>
      <c r="O89" s="184"/>
      <c r="P89" s="200" t="s">
        <v>2022</v>
      </c>
      <c r="Q89" s="201" t="s">
        <v>2023</v>
      </c>
      <c r="R89" s="200" t="s">
        <v>2024</v>
      </c>
      <c r="S89" s="201" t="s">
        <v>2025</v>
      </c>
      <c r="T89" s="193" t="s">
        <v>2026</v>
      </c>
      <c r="U89" s="194" t="s">
        <v>2027</v>
      </c>
      <c r="V89" s="193" t="s">
        <v>2028</v>
      </c>
      <c r="W89" s="194" t="s">
        <v>2029</v>
      </c>
      <c r="X89" s="200" t="s">
        <v>2030</v>
      </c>
      <c r="Y89" s="201" t="s">
        <v>2031</v>
      </c>
      <c r="Z89" s="200" t="s">
        <v>2032</v>
      </c>
      <c r="AA89" s="201" t="s">
        <v>2033</v>
      </c>
      <c r="AB89" s="202" t="s">
        <v>2034</v>
      </c>
      <c r="AC89" s="203" t="s">
        <v>2035</v>
      </c>
      <c r="AD89" s="193" t="s">
        <v>2036</v>
      </c>
      <c r="AE89" s="194" t="s">
        <v>2037</v>
      </c>
      <c r="AF89" s="200" t="s">
        <v>2038</v>
      </c>
      <c r="AG89" s="200" t="s">
        <v>2039</v>
      </c>
      <c r="AH89" s="184"/>
      <c r="AI89" s="184"/>
      <c r="AJ89" s="184"/>
      <c r="AK89" s="184"/>
      <c r="AL89" s="184"/>
      <c r="AM89" s="184"/>
      <c r="AN89" s="184"/>
      <c r="AO89" s="184"/>
      <c r="AP89" s="184"/>
      <c r="AQ89" s="184"/>
      <c r="AR89" s="184"/>
      <c r="AS89" s="184"/>
      <c r="AT89" s="184"/>
      <c r="AU89" s="188"/>
      <c r="AW89" s="129">
        <f>IFERROR(IF(AW88+1&gt;BA26,IF(AW88+1&gt;BA26,IF(AZ27+AZ88&gt;BA27,"",AZ27+AZ88)),AW88+1),"")</f>
        <v>60</v>
      </c>
      <c r="AX89" s="129" t="str">
        <f>IFERROR(INDEX(H31:AU181,AW89,AX26),"")</f>
        <v/>
      </c>
      <c r="AY89" s="129" t="str">
        <f>IFERROR(INDEX(H31:AU181,AW89,AY26),"")</f>
        <v/>
      </c>
      <c r="AZ89" s="129">
        <f>IFERROR(IF(AW88+1&gt;BA26,AZ88+1,0),"")</f>
        <v>0</v>
      </c>
    </row>
    <row r="90" spans="1:52" ht="16.5" customHeight="1" x14ac:dyDescent="0.25">
      <c r="A90" s="198" t="s">
        <v>612</v>
      </c>
      <c r="B90" s="198">
        <v>11</v>
      </c>
      <c r="C90" s="198">
        <v>12</v>
      </c>
      <c r="D90" s="198">
        <v>30</v>
      </c>
      <c r="E90" s="198">
        <f>D91-1</f>
        <v>33</v>
      </c>
      <c r="G90" s="184">
        <v>60</v>
      </c>
      <c r="H90" s="197" t="s">
        <v>2040</v>
      </c>
      <c r="I90" s="194" t="s">
        <v>2041</v>
      </c>
      <c r="J90" s="184"/>
      <c r="K90" s="184"/>
      <c r="L90" s="193" t="s">
        <v>2042</v>
      </c>
      <c r="M90" s="194" t="s">
        <v>2043</v>
      </c>
      <c r="N90" s="184"/>
      <c r="O90" s="184"/>
      <c r="P90" s="200" t="s">
        <v>2044</v>
      </c>
      <c r="Q90" s="201" t="s">
        <v>2045</v>
      </c>
      <c r="R90" s="200" t="s">
        <v>2046</v>
      </c>
      <c r="S90" s="201" t="s">
        <v>2047</v>
      </c>
      <c r="T90" s="200" t="s">
        <v>2048</v>
      </c>
      <c r="U90" s="201" t="s">
        <v>2049</v>
      </c>
      <c r="V90" s="193" t="s">
        <v>2050</v>
      </c>
      <c r="W90" s="194" t="s">
        <v>2051</v>
      </c>
      <c r="X90" s="200" t="s">
        <v>2052</v>
      </c>
      <c r="Y90" s="201" t="s">
        <v>2053</v>
      </c>
      <c r="Z90" s="200" t="s">
        <v>2054</v>
      </c>
      <c r="AA90" s="201" t="s">
        <v>2055</v>
      </c>
      <c r="AB90" s="202" t="s">
        <v>2056</v>
      </c>
      <c r="AC90" s="203" t="s">
        <v>2057</v>
      </c>
      <c r="AD90" s="193" t="s">
        <v>2058</v>
      </c>
      <c r="AE90" s="194" t="s">
        <v>2059</v>
      </c>
      <c r="AF90" s="200" t="s">
        <v>2060</v>
      </c>
      <c r="AG90" s="200" t="s">
        <v>2061</v>
      </c>
      <c r="AH90" s="184"/>
      <c r="AI90" s="184"/>
      <c r="AJ90" s="184"/>
      <c r="AK90" s="184"/>
      <c r="AL90" s="184"/>
      <c r="AM90" s="184"/>
      <c r="AN90" s="184"/>
      <c r="AO90" s="184"/>
      <c r="AP90" s="184"/>
      <c r="AQ90" s="184"/>
      <c r="AR90" s="184"/>
      <c r="AS90" s="184"/>
      <c r="AT90" s="184"/>
      <c r="AU90" s="188"/>
      <c r="AW90" s="129">
        <f>IFERROR(IF(AW89+1&gt;BA26,IF(AW89+1&gt;BA26,IF(AZ27+AZ89&gt;BA27,"",AZ27+AZ89)),AW89+1),"")</f>
        <v>61</v>
      </c>
      <c r="AX90" s="129" t="str">
        <f>IFERROR(INDEX(H31:AU181,AW90,AX26),"")</f>
        <v/>
      </c>
      <c r="AY90" s="129" t="str">
        <f>IFERROR(INDEX(H31:AU181,AW90,AY26),"")</f>
        <v/>
      </c>
      <c r="AZ90" s="129">
        <f>IFERROR(IF(AW89+1&gt;BA26,AZ89+1,0),"")</f>
        <v>0</v>
      </c>
    </row>
    <row r="91" spans="1:52" ht="16.5" customHeight="1" x14ac:dyDescent="0.25">
      <c r="A91" s="114" t="s">
        <v>613</v>
      </c>
      <c r="B91" s="114">
        <v>11</v>
      </c>
      <c r="C91" s="114">
        <v>12</v>
      </c>
      <c r="D91" s="114">
        <v>34</v>
      </c>
      <c r="E91" s="114">
        <f t="shared" ref="E91:E97" si="5">D92-1</f>
        <v>37</v>
      </c>
      <c r="G91" s="184">
        <v>61</v>
      </c>
      <c r="H91" s="197" t="s">
        <v>2062</v>
      </c>
      <c r="I91" s="194" t="s">
        <v>2063</v>
      </c>
      <c r="J91" s="184"/>
      <c r="K91" s="184"/>
      <c r="L91" s="193" t="s">
        <v>2064</v>
      </c>
      <c r="M91" s="194" t="s">
        <v>1756</v>
      </c>
      <c r="N91" s="184"/>
      <c r="O91" s="184"/>
      <c r="P91" s="200" t="s">
        <v>2065</v>
      </c>
      <c r="Q91" s="201" t="s">
        <v>2066</v>
      </c>
      <c r="R91" s="193" t="s">
        <v>2067</v>
      </c>
      <c r="S91" s="194" t="s">
        <v>2068</v>
      </c>
      <c r="T91" s="200" t="s">
        <v>2069</v>
      </c>
      <c r="U91" s="201" t="s">
        <v>2070</v>
      </c>
      <c r="V91" s="193" t="s">
        <v>2071</v>
      </c>
      <c r="W91" s="194" t="s">
        <v>2072</v>
      </c>
      <c r="X91" s="200" t="s">
        <v>2073</v>
      </c>
      <c r="Y91" s="201" t="s">
        <v>2074</v>
      </c>
      <c r="Z91" s="200" t="s">
        <v>2075</v>
      </c>
      <c r="AA91" s="201" t="s">
        <v>2076</v>
      </c>
      <c r="AB91" s="202" t="s">
        <v>2077</v>
      </c>
      <c r="AC91" s="203" t="s">
        <v>2078</v>
      </c>
      <c r="AD91" s="193" t="s">
        <v>2079</v>
      </c>
      <c r="AE91" s="194" t="s">
        <v>2080</v>
      </c>
      <c r="AF91" s="193" t="s">
        <v>1622</v>
      </c>
      <c r="AG91" s="193" t="s">
        <v>2081</v>
      </c>
      <c r="AH91" s="184"/>
      <c r="AI91" s="184"/>
      <c r="AJ91" s="184"/>
      <c r="AK91" s="184"/>
      <c r="AL91" s="184"/>
      <c r="AM91" s="184"/>
      <c r="AN91" s="184"/>
      <c r="AO91" s="184"/>
      <c r="AP91" s="184"/>
      <c r="AQ91" s="184"/>
      <c r="AR91" s="184"/>
      <c r="AS91" s="184"/>
      <c r="AT91" s="184"/>
      <c r="AU91" s="188"/>
      <c r="AW91" s="129">
        <f>IFERROR(IF(AW90+1&gt;BA26,IF(AW90+1&gt;BA26,IF(AZ27+AZ90&gt;BA27,"",AZ27+AZ90)),AW90+1),"")</f>
        <v>62</v>
      </c>
      <c r="AX91" s="129" t="str">
        <f>IFERROR(INDEX(H31:AU181,AW91,AX26),"")</f>
        <v/>
      </c>
      <c r="AY91" s="129" t="str">
        <f>IFERROR(INDEX(H31:AU181,AW91,AY26),"")</f>
        <v/>
      </c>
      <c r="AZ91" s="129">
        <f>IFERROR(IF(AW90+1&gt;BA26,AZ90+1,0),"")</f>
        <v>0</v>
      </c>
    </row>
    <row r="92" spans="1:52" ht="16.5" customHeight="1" x14ac:dyDescent="0.25">
      <c r="A92" s="114" t="s">
        <v>614</v>
      </c>
      <c r="B92" s="114">
        <v>11</v>
      </c>
      <c r="C92" s="114">
        <v>12</v>
      </c>
      <c r="D92" s="114">
        <v>38</v>
      </c>
      <c r="E92" s="114">
        <f t="shared" si="5"/>
        <v>55</v>
      </c>
      <c r="G92" s="184">
        <v>62</v>
      </c>
      <c r="H92" s="205"/>
      <c r="I92" s="184"/>
      <c r="J92" s="184"/>
      <c r="K92" s="184"/>
      <c r="L92" s="193" t="s">
        <v>2082</v>
      </c>
      <c r="M92" s="194" t="s">
        <v>2083</v>
      </c>
      <c r="N92" s="184"/>
      <c r="O92" s="184"/>
      <c r="P92" s="200" t="s">
        <v>2084</v>
      </c>
      <c r="Q92" s="201" t="s">
        <v>2085</v>
      </c>
      <c r="R92" s="193" t="s">
        <v>2086</v>
      </c>
      <c r="S92" s="194" t="s">
        <v>2087</v>
      </c>
      <c r="T92" s="200" t="s">
        <v>2088</v>
      </c>
      <c r="U92" s="201" t="s">
        <v>2089</v>
      </c>
      <c r="V92" s="193" t="s">
        <v>2090</v>
      </c>
      <c r="W92" s="194" t="s">
        <v>2091</v>
      </c>
      <c r="X92" s="200" t="s">
        <v>2092</v>
      </c>
      <c r="Y92" s="201" t="s">
        <v>2093</v>
      </c>
      <c r="Z92" s="200" t="s">
        <v>2094</v>
      </c>
      <c r="AA92" s="201" t="s">
        <v>2095</v>
      </c>
      <c r="AB92" s="202" t="s">
        <v>2096</v>
      </c>
      <c r="AC92" s="203" t="s">
        <v>2097</v>
      </c>
      <c r="AD92" s="193" t="s">
        <v>2098</v>
      </c>
      <c r="AE92" s="194" t="s">
        <v>2099</v>
      </c>
      <c r="AF92" s="193" t="s">
        <v>2100</v>
      </c>
      <c r="AG92" s="193" t="s">
        <v>2101</v>
      </c>
      <c r="AH92" s="184"/>
      <c r="AI92" s="184"/>
      <c r="AJ92" s="184"/>
      <c r="AK92" s="184"/>
      <c r="AL92" s="184"/>
      <c r="AM92" s="184"/>
      <c r="AN92" s="184"/>
      <c r="AO92" s="184"/>
      <c r="AP92" s="184"/>
      <c r="AQ92" s="184"/>
      <c r="AR92" s="184"/>
      <c r="AS92" s="184"/>
      <c r="AT92" s="184"/>
      <c r="AU92" s="188"/>
      <c r="AW92" s="129">
        <f>IFERROR(IF(AW91+1&gt;BA26,IF(AW91+1&gt;BA26,IF(AZ27+AZ91&gt;BA27,"",AZ27+AZ91)),AW91+1),"")</f>
        <v>63</v>
      </c>
      <c r="AX92" s="129" t="str">
        <f>IFERROR(INDEX(H31:AU181,AW92,AX26),"")</f>
        <v/>
      </c>
      <c r="AY92" s="129" t="str">
        <f>IFERROR(INDEX(H31:AU181,AW92,AY26),"")</f>
        <v/>
      </c>
      <c r="AZ92" s="129">
        <f>IFERROR(IF(AW91+1&gt;BA26,AZ91+1,0),"")</f>
        <v>0</v>
      </c>
    </row>
    <row r="93" spans="1:52" ht="16.5" customHeight="1" x14ac:dyDescent="0.25">
      <c r="A93" s="114" t="s">
        <v>615</v>
      </c>
      <c r="B93" s="114">
        <v>11</v>
      </c>
      <c r="C93" s="114">
        <v>12</v>
      </c>
      <c r="D93" s="114">
        <v>56</v>
      </c>
      <c r="E93" s="114">
        <f t="shared" si="5"/>
        <v>60</v>
      </c>
      <c r="G93" s="184">
        <v>63</v>
      </c>
      <c r="H93" s="205"/>
      <c r="I93" s="184"/>
      <c r="J93" s="184"/>
      <c r="K93" s="184"/>
      <c r="L93" s="193" t="s">
        <v>2102</v>
      </c>
      <c r="M93" s="194" t="s">
        <v>2103</v>
      </c>
      <c r="N93" s="184"/>
      <c r="O93" s="184"/>
      <c r="P93" s="200" t="s">
        <v>2104</v>
      </c>
      <c r="Q93" s="201" t="s">
        <v>2105</v>
      </c>
      <c r="R93" s="193" t="s">
        <v>2106</v>
      </c>
      <c r="S93" s="194" t="s">
        <v>2107</v>
      </c>
      <c r="T93" s="200" t="s">
        <v>2108</v>
      </c>
      <c r="U93" s="201" t="s">
        <v>2109</v>
      </c>
      <c r="V93" s="193" t="s">
        <v>2110</v>
      </c>
      <c r="W93" s="194" t="s">
        <v>2111</v>
      </c>
      <c r="X93" s="200" t="s">
        <v>2112</v>
      </c>
      <c r="Y93" s="201" t="s">
        <v>2113</v>
      </c>
      <c r="Z93" s="193" t="s">
        <v>2114</v>
      </c>
      <c r="AA93" s="194" t="s">
        <v>2115</v>
      </c>
      <c r="AB93" s="202" t="s">
        <v>2116</v>
      </c>
      <c r="AC93" s="203" t="s">
        <v>2117</v>
      </c>
      <c r="AD93" s="193" t="s">
        <v>2118</v>
      </c>
      <c r="AE93" s="194" t="s">
        <v>2119</v>
      </c>
      <c r="AF93" s="193" t="s">
        <v>2120</v>
      </c>
      <c r="AG93" s="193" t="s">
        <v>2121</v>
      </c>
      <c r="AH93" s="184"/>
      <c r="AI93" s="184"/>
      <c r="AJ93" s="184"/>
      <c r="AK93" s="184"/>
      <c r="AL93" s="184"/>
      <c r="AM93" s="184"/>
      <c r="AN93" s="184"/>
      <c r="AO93" s="184"/>
      <c r="AP93" s="184"/>
      <c r="AQ93" s="184"/>
      <c r="AR93" s="184"/>
      <c r="AS93" s="184"/>
      <c r="AT93" s="184"/>
      <c r="AU93" s="188"/>
      <c r="AW93" s="129">
        <f>IFERROR(IF(AW92+1&gt;BA26,IF(AW92+1&gt;BA26,IF(AZ27+AZ92&gt;BA27,"",AZ27+AZ92)),AW92+1),"")</f>
        <v>64</v>
      </c>
      <c r="AX93" s="129" t="str">
        <f>IFERROR(INDEX(H31:AU181,AW93,AX26),"")</f>
        <v/>
      </c>
      <c r="AY93" s="129" t="str">
        <f>IFERROR(INDEX(H31:AU181,AW93,AY26),"")</f>
        <v/>
      </c>
      <c r="AZ93" s="129">
        <f>IFERROR(IF(AW92+1&gt;BA26,AZ92+1,0),"")</f>
        <v>0</v>
      </c>
    </row>
    <row r="94" spans="1:52" ht="16.5" customHeight="1" x14ac:dyDescent="0.25">
      <c r="A94" s="114" t="s">
        <v>616</v>
      </c>
      <c r="B94" s="114">
        <v>11</v>
      </c>
      <c r="C94" s="114">
        <v>12</v>
      </c>
      <c r="D94" s="114">
        <v>61</v>
      </c>
      <c r="E94" s="114">
        <f t="shared" si="5"/>
        <v>64</v>
      </c>
      <c r="G94" s="184">
        <v>64</v>
      </c>
      <c r="H94" s="205"/>
      <c r="I94" s="184"/>
      <c r="J94" s="184"/>
      <c r="K94" s="184"/>
      <c r="L94" s="193" t="s">
        <v>2122</v>
      </c>
      <c r="M94" s="194" t="s">
        <v>2123</v>
      </c>
      <c r="N94" s="184"/>
      <c r="O94" s="184"/>
      <c r="P94" s="200" t="s">
        <v>2124</v>
      </c>
      <c r="Q94" s="201" t="s">
        <v>2125</v>
      </c>
      <c r="R94" s="193" t="s">
        <v>2126</v>
      </c>
      <c r="S94" s="194" t="s">
        <v>2127</v>
      </c>
      <c r="T94" s="200" t="s">
        <v>2128</v>
      </c>
      <c r="U94" s="201" t="s">
        <v>2129</v>
      </c>
      <c r="V94" s="200" t="s">
        <v>2130</v>
      </c>
      <c r="W94" s="201" t="s">
        <v>2131</v>
      </c>
      <c r="X94" s="200" t="s">
        <v>2132</v>
      </c>
      <c r="Y94" s="201" t="s">
        <v>2133</v>
      </c>
      <c r="Z94" s="193" t="s">
        <v>2134</v>
      </c>
      <c r="AA94" s="194" t="s">
        <v>2135</v>
      </c>
      <c r="AB94" s="202" t="s">
        <v>2136</v>
      </c>
      <c r="AC94" s="203" t="s">
        <v>2137</v>
      </c>
      <c r="AD94" s="200" t="s">
        <v>2138</v>
      </c>
      <c r="AE94" s="201" t="s">
        <v>2139</v>
      </c>
      <c r="AF94" s="193" t="s">
        <v>2140</v>
      </c>
      <c r="AG94" s="193" t="s">
        <v>2141</v>
      </c>
      <c r="AH94" s="184"/>
      <c r="AI94" s="184"/>
      <c r="AJ94" s="184"/>
      <c r="AK94" s="184"/>
      <c r="AL94" s="184"/>
      <c r="AM94" s="184"/>
      <c r="AN94" s="184"/>
      <c r="AO94" s="184"/>
      <c r="AP94" s="184"/>
      <c r="AQ94" s="184"/>
      <c r="AR94" s="184"/>
      <c r="AS94" s="184"/>
      <c r="AT94" s="184"/>
      <c r="AU94" s="188"/>
      <c r="AW94" s="129">
        <f>IFERROR(IF(AW93+1&gt;BA26,IF(AW93+1&gt;BA26,IF(AZ27+AZ93&gt;BA27,"",AZ27+AZ93)),AW93+1),"")</f>
        <v>65</v>
      </c>
      <c r="AX94" s="129" t="str">
        <f>IFERROR(INDEX(H31:AU181,AW94,AX26),"")</f>
        <v/>
      </c>
      <c r="AY94" s="129" t="str">
        <f>IFERROR(INDEX(H31:AU181,AW94,AY26),"")</f>
        <v/>
      </c>
      <c r="AZ94" s="129">
        <f>IFERROR(IF(AW93+1&gt;BA26,AZ93+1,0),"")</f>
        <v>0</v>
      </c>
    </row>
    <row r="95" spans="1:52" ht="16.5" customHeight="1" x14ac:dyDescent="0.25">
      <c r="A95" s="114" t="s">
        <v>617</v>
      </c>
      <c r="B95" s="114">
        <v>11</v>
      </c>
      <c r="C95" s="114">
        <v>12</v>
      </c>
      <c r="D95" s="114">
        <v>65</v>
      </c>
      <c r="E95" s="114">
        <f t="shared" si="5"/>
        <v>68</v>
      </c>
      <c r="G95" s="184">
        <v>65</v>
      </c>
      <c r="H95" s="205"/>
      <c r="I95" s="184"/>
      <c r="J95" s="184"/>
      <c r="K95" s="184"/>
      <c r="L95" s="193" t="s">
        <v>1326</v>
      </c>
      <c r="M95" s="194" t="s">
        <v>2142</v>
      </c>
      <c r="N95" s="184"/>
      <c r="O95" s="184"/>
      <c r="P95" s="200" t="s">
        <v>2143</v>
      </c>
      <c r="Q95" s="201" t="s">
        <v>2144</v>
      </c>
      <c r="R95" s="200" t="s">
        <v>2145</v>
      </c>
      <c r="S95" s="201" t="s">
        <v>2146</v>
      </c>
      <c r="T95" s="184"/>
      <c r="U95" s="184"/>
      <c r="V95" s="200" t="s">
        <v>2147</v>
      </c>
      <c r="W95" s="201" t="s">
        <v>2148</v>
      </c>
      <c r="X95" s="200" t="s">
        <v>2149</v>
      </c>
      <c r="Y95" s="201" t="s">
        <v>2150</v>
      </c>
      <c r="Z95" s="193" t="s">
        <v>2151</v>
      </c>
      <c r="AA95" s="194" t="s">
        <v>2152</v>
      </c>
      <c r="AB95" s="202" t="s">
        <v>2153</v>
      </c>
      <c r="AC95" s="203" t="s">
        <v>2154</v>
      </c>
      <c r="AD95" s="200" t="s">
        <v>2155</v>
      </c>
      <c r="AE95" s="201" t="s">
        <v>2156</v>
      </c>
      <c r="AF95" s="193" t="s">
        <v>2157</v>
      </c>
      <c r="AG95" s="193" t="s">
        <v>2158</v>
      </c>
      <c r="AH95" s="184"/>
      <c r="AI95" s="184"/>
      <c r="AJ95" s="184"/>
      <c r="AK95" s="184"/>
      <c r="AL95" s="184"/>
      <c r="AM95" s="184"/>
      <c r="AN95" s="184"/>
      <c r="AO95" s="184"/>
      <c r="AP95" s="184"/>
      <c r="AQ95" s="184"/>
      <c r="AR95" s="184"/>
      <c r="AS95" s="184"/>
      <c r="AT95" s="184"/>
      <c r="AU95" s="188"/>
      <c r="AW95" s="129">
        <f>IFERROR(IF(AW94+1&gt;BA26,IF(AW94+1&gt;BA26,IF(AZ27+AZ94&gt;BA27,"",AZ27+AZ94)),AW94+1),"")</f>
        <v>66</v>
      </c>
      <c r="AX95" s="129" t="str">
        <f>IFERROR(INDEX(H31:AU181,AW95,AX26),"")</f>
        <v/>
      </c>
      <c r="AY95" s="129" t="str">
        <f>IFERROR(INDEX(H31:AU181,AW95,AY26),"")</f>
        <v/>
      </c>
      <c r="AZ95" s="129">
        <f>IFERROR(IF(AW94+1&gt;BA26,AZ94+1,0),"")</f>
        <v>0</v>
      </c>
    </row>
    <row r="96" spans="1:52" ht="16.5" customHeight="1" x14ac:dyDescent="0.25">
      <c r="A96" s="114" t="s">
        <v>618</v>
      </c>
      <c r="B96" s="114">
        <v>11</v>
      </c>
      <c r="C96" s="114">
        <v>12</v>
      </c>
      <c r="D96" s="114">
        <v>69</v>
      </c>
      <c r="E96" s="114">
        <f t="shared" si="5"/>
        <v>72</v>
      </c>
      <c r="G96" s="184">
        <v>66</v>
      </c>
      <c r="H96" s="205"/>
      <c r="I96" s="184"/>
      <c r="J96" s="184"/>
      <c r="K96" s="184"/>
      <c r="L96" s="193" t="s">
        <v>2159</v>
      </c>
      <c r="M96" s="194" t="s">
        <v>2160</v>
      </c>
      <c r="N96" s="184"/>
      <c r="O96" s="184"/>
      <c r="P96" s="200" t="s">
        <v>97</v>
      </c>
      <c r="Q96" s="201" t="s">
        <v>2161</v>
      </c>
      <c r="R96" s="200" t="s">
        <v>2162</v>
      </c>
      <c r="S96" s="201" t="s">
        <v>2163</v>
      </c>
      <c r="T96" s="184"/>
      <c r="U96" s="184"/>
      <c r="V96" s="200" t="s">
        <v>2164</v>
      </c>
      <c r="W96" s="201" t="s">
        <v>2165</v>
      </c>
      <c r="X96" s="200" t="s">
        <v>2166</v>
      </c>
      <c r="Y96" s="201" t="s">
        <v>2167</v>
      </c>
      <c r="Z96" s="193" t="s">
        <v>2168</v>
      </c>
      <c r="AA96" s="194" t="s">
        <v>2169</v>
      </c>
      <c r="AB96" s="206" t="s">
        <v>2170</v>
      </c>
      <c r="AC96" s="207" t="s">
        <v>2171</v>
      </c>
      <c r="AD96" s="200" t="s">
        <v>846</v>
      </c>
      <c r="AE96" s="201" t="s">
        <v>2172</v>
      </c>
      <c r="AF96" s="193" t="s">
        <v>2173</v>
      </c>
      <c r="AG96" s="193" t="s">
        <v>2174</v>
      </c>
      <c r="AH96" s="184"/>
      <c r="AI96" s="184"/>
      <c r="AJ96" s="184"/>
      <c r="AK96" s="184"/>
      <c r="AL96" s="184"/>
      <c r="AM96" s="184"/>
      <c r="AN96" s="184"/>
      <c r="AO96" s="184"/>
      <c r="AP96" s="184"/>
      <c r="AQ96" s="184"/>
      <c r="AR96" s="184"/>
      <c r="AS96" s="184"/>
      <c r="AT96" s="184"/>
      <c r="AU96" s="188"/>
      <c r="AW96" s="129">
        <f>IFERROR(IF(AW95+1&gt;BA26,IF(AW95+1&gt;BA26,IF(AZ27+AZ95&gt;BA27,"",AZ27+AZ95)),AW95+1),"")</f>
        <v>67</v>
      </c>
      <c r="AX96" s="129" t="str">
        <f>IFERROR(INDEX(H31:AU181,AW96,AX26),"")</f>
        <v/>
      </c>
      <c r="AY96" s="129" t="str">
        <f>IFERROR(INDEX(H31:AU181,AW96,AY26),"")</f>
        <v/>
      </c>
      <c r="AZ96" s="129">
        <f>IFERROR(IF(AW95+1&gt;BA26,AZ95+1,0),"")</f>
        <v>0</v>
      </c>
    </row>
    <row r="97" spans="1:52" ht="16.5" customHeight="1" x14ac:dyDescent="0.25">
      <c r="A97" s="114" t="s">
        <v>619</v>
      </c>
      <c r="B97" s="114">
        <v>11</v>
      </c>
      <c r="C97" s="114">
        <v>12</v>
      </c>
      <c r="D97" s="114">
        <v>73</v>
      </c>
      <c r="E97" s="114">
        <f t="shared" si="5"/>
        <v>78</v>
      </c>
      <c r="G97" s="184">
        <v>67</v>
      </c>
      <c r="H97" s="205"/>
      <c r="I97" s="184"/>
      <c r="J97" s="184"/>
      <c r="K97" s="184"/>
      <c r="L97" s="200" t="s">
        <v>2175</v>
      </c>
      <c r="M97" s="201" t="s">
        <v>2176</v>
      </c>
      <c r="N97" s="184"/>
      <c r="O97" s="184"/>
      <c r="P97" s="200" t="s">
        <v>2177</v>
      </c>
      <c r="Q97" s="201" t="s">
        <v>2178</v>
      </c>
      <c r="R97" s="200" t="s">
        <v>2179</v>
      </c>
      <c r="S97" s="201" t="s">
        <v>2180</v>
      </c>
      <c r="T97" s="184"/>
      <c r="U97" s="184"/>
      <c r="V97" s="200" t="s">
        <v>2181</v>
      </c>
      <c r="W97" s="201" t="s">
        <v>2182</v>
      </c>
      <c r="X97" s="200" t="s">
        <v>2183</v>
      </c>
      <c r="Y97" s="201" t="s">
        <v>2184</v>
      </c>
      <c r="Z97" s="193" t="s">
        <v>2185</v>
      </c>
      <c r="AA97" s="194" t="s">
        <v>2186</v>
      </c>
      <c r="AB97" s="206" t="s">
        <v>2187</v>
      </c>
      <c r="AC97" s="207" t="s">
        <v>2188</v>
      </c>
      <c r="AD97" s="200" t="s">
        <v>2189</v>
      </c>
      <c r="AE97" s="201" t="s">
        <v>2190</v>
      </c>
      <c r="AF97" s="193" t="s">
        <v>846</v>
      </c>
      <c r="AG97" s="193" t="s">
        <v>2191</v>
      </c>
      <c r="AH97" s="184"/>
      <c r="AI97" s="184"/>
      <c r="AJ97" s="184"/>
      <c r="AK97" s="184"/>
      <c r="AL97" s="184"/>
      <c r="AM97" s="184"/>
      <c r="AN97" s="184"/>
      <c r="AO97" s="184"/>
      <c r="AP97" s="184"/>
      <c r="AQ97" s="184"/>
      <c r="AR97" s="184"/>
      <c r="AS97" s="184"/>
      <c r="AT97" s="184"/>
      <c r="AU97" s="188"/>
      <c r="AW97" s="129">
        <f>IFERROR(IF(AW96+1&gt;BA26,IF(AW96+1&gt;BA26,IF(AZ27+AZ96&gt;BA27,"",AZ27+AZ96)),AW96+1),"")</f>
        <v>68</v>
      </c>
      <c r="AX97" s="129" t="str">
        <f>IFERROR(INDEX(H31:AU181,AW97,AX26),"")</f>
        <v/>
      </c>
      <c r="AY97" s="129" t="str">
        <f>IFERROR(INDEX(H31:AU181,AW97,AY26),"")</f>
        <v/>
      </c>
      <c r="AZ97" s="129">
        <f>IFERROR(IF(AW96+1&gt;BA26,AZ96+1,0),"")</f>
        <v>0</v>
      </c>
    </row>
    <row r="98" spans="1:52" ht="16.5" customHeight="1" x14ac:dyDescent="0.25">
      <c r="A98" s="114" t="s">
        <v>620</v>
      </c>
      <c r="B98" s="114">
        <v>11</v>
      </c>
      <c r="C98" s="114">
        <v>12</v>
      </c>
      <c r="D98" s="114">
        <v>79</v>
      </c>
      <c r="E98" s="114">
        <v>80</v>
      </c>
      <c r="G98" s="184">
        <v>68</v>
      </c>
      <c r="H98" s="205"/>
      <c r="I98" s="184"/>
      <c r="J98" s="184"/>
      <c r="K98" s="184"/>
      <c r="L98" s="200" t="s">
        <v>1127</v>
      </c>
      <c r="M98" s="201" t="s">
        <v>2192</v>
      </c>
      <c r="N98" s="184"/>
      <c r="O98" s="184"/>
      <c r="P98" s="200" t="s">
        <v>2193</v>
      </c>
      <c r="Q98" s="201" t="s">
        <v>2194</v>
      </c>
      <c r="R98" s="200" t="s">
        <v>2195</v>
      </c>
      <c r="S98" s="201" t="s">
        <v>2196</v>
      </c>
      <c r="T98" s="184"/>
      <c r="U98" s="184"/>
      <c r="V98" s="200" t="s">
        <v>2197</v>
      </c>
      <c r="W98" s="201" t="s">
        <v>2198</v>
      </c>
      <c r="X98" s="184"/>
      <c r="Y98" s="184"/>
      <c r="Z98" s="200" t="s">
        <v>2199</v>
      </c>
      <c r="AA98" s="201" t="s">
        <v>2200</v>
      </c>
      <c r="AB98" s="206" t="s">
        <v>2201</v>
      </c>
      <c r="AC98" s="207" t="s">
        <v>2202</v>
      </c>
      <c r="AD98" s="200" t="s">
        <v>2203</v>
      </c>
      <c r="AE98" s="201" t="s">
        <v>2204</v>
      </c>
      <c r="AF98" s="193" t="s">
        <v>2205</v>
      </c>
      <c r="AG98" s="193" t="s">
        <v>2206</v>
      </c>
      <c r="AH98" s="184"/>
      <c r="AI98" s="184"/>
      <c r="AJ98" s="184"/>
      <c r="AK98" s="184"/>
      <c r="AL98" s="184"/>
      <c r="AM98" s="184"/>
      <c r="AN98" s="184"/>
      <c r="AO98" s="184"/>
      <c r="AP98" s="184"/>
      <c r="AQ98" s="184"/>
      <c r="AR98" s="184"/>
      <c r="AS98" s="184"/>
      <c r="AT98" s="184"/>
      <c r="AU98" s="188"/>
      <c r="AW98" s="129">
        <f>IFERROR(IF(AW97+1&gt;BA26,IF(AW97+1&gt;BA26,IF(AZ27+AZ97&gt;BA27,"",AZ27+AZ97)),AW97+1),"")</f>
        <v>69</v>
      </c>
      <c r="AX98" s="129" t="str">
        <f>IFERROR(INDEX(H31:AU181,AW98,AX26),"")</f>
        <v/>
      </c>
      <c r="AY98" s="129" t="str">
        <f>IFERROR(INDEX(H31:AU181,AW98,AY26),"")</f>
        <v/>
      </c>
      <c r="AZ98" s="129">
        <f>IFERROR(IF(AW97+1&gt;BA26,AZ97+1,0),"")</f>
        <v>0</v>
      </c>
    </row>
    <row r="99" spans="1:52" ht="16.5" customHeight="1" x14ac:dyDescent="0.25">
      <c r="A99" s="114" t="s">
        <v>621</v>
      </c>
      <c r="B99" s="114">
        <v>11</v>
      </c>
      <c r="C99" s="114">
        <v>12</v>
      </c>
      <c r="D99" s="114">
        <v>83</v>
      </c>
      <c r="E99" s="114">
        <v>88</v>
      </c>
      <c r="G99" s="184">
        <v>69</v>
      </c>
      <c r="H99" s="205"/>
      <c r="I99" s="184"/>
      <c r="J99" s="184"/>
      <c r="K99" s="184"/>
      <c r="L99" s="200" t="s">
        <v>2207</v>
      </c>
      <c r="M99" s="201" t="s">
        <v>2208</v>
      </c>
      <c r="N99" s="184"/>
      <c r="O99" s="184"/>
      <c r="P99" s="200" t="s">
        <v>98</v>
      </c>
      <c r="Q99" s="201" t="s">
        <v>2209</v>
      </c>
      <c r="R99" s="193" t="s">
        <v>2210</v>
      </c>
      <c r="S99" s="194" t="s">
        <v>2211</v>
      </c>
      <c r="T99" s="184"/>
      <c r="U99" s="184"/>
      <c r="V99" s="200" t="s">
        <v>2212</v>
      </c>
      <c r="W99" s="201" t="s">
        <v>2213</v>
      </c>
      <c r="X99" s="184"/>
      <c r="Y99" s="184"/>
      <c r="Z99" s="200" t="s">
        <v>2214</v>
      </c>
      <c r="AA99" s="201" t="s">
        <v>2215</v>
      </c>
      <c r="AB99" s="206" t="s">
        <v>2216</v>
      </c>
      <c r="AC99" s="207" t="s">
        <v>2217</v>
      </c>
      <c r="AD99" s="193" t="s">
        <v>2218</v>
      </c>
      <c r="AE99" s="194" t="s">
        <v>2219</v>
      </c>
      <c r="AF99" s="193" t="s">
        <v>2220</v>
      </c>
      <c r="AG99" s="193" t="s">
        <v>2221</v>
      </c>
      <c r="AH99" s="184"/>
      <c r="AI99" s="184"/>
      <c r="AJ99" s="184"/>
      <c r="AK99" s="184"/>
      <c r="AL99" s="184"/>
      <c r="AM99" s="184"/>
      <c r="AN99" s="184"/>
      <c r="AO99" s="184"/>
      <c r="AP99" s="184"/>
      <c r="AQ99" s="184"/>
      <c r="AR99" s="184"/>
      <c r="AS99" s="184"/>
      <c r="AT99" s="184"/>
      <c r="AU99" s="188"/>
      <c r="AW99" s="129">
        <f>IFERROR(IF(AW98+1&gt;BA26,IF(AW98+1&gt;BA26,IF(AZ27+AZ98&gt;BA27,"",AZ27+AZ98)),AW98+1),"")</f>
        <v>70</v>
      </c>
      <c r="AX99" s="129" t="str">
        <f>IFERROR(INDEX(H31:AU181,AW99,AX26),"")</f>
        <v/>
      </c>
      <c r="AY99" s="129" t="str">
        <f>IFERROR(INDEX(H31:AU181,AW99,AY26),"")</f>
        <v/>
      </c>
      <c r="AZ99" s="129">
        <f>IFERROR(IF(AW98+1&gt;BA26,AZ98+1,0),"")</f>
        <v>0</v>
      </c>
    </row>
    <row r="100" spans="1:52" ht="16.5" customHeight="1" x14ac:dyDescent="0.25">
      <c r="A100" s="198" t="s">
        <v>623</v>
      </c>
      <c r="B100" s="198">
        <v>13</v>
      </c>
      <c r="C100" s="198">
        <v>14</v>
      </c>
      <c r="D100" s="198">
        <v>25</v>
      </c>
      <c r="E100" s="198">
        <f>D101-1</f>
        <v>29</v>
      </c>
      <c r="G100" s="184">
        <v>70</v>
      </c>
      <c r="H100" s="205"/>
      <c r="I100" s="184"/>
      <c r="J100" s="184"/>
      <c r="K100" s="184"/>
      <c r="L100" s="200" t="s">
        <v>2222</v>
      </c>
      <c r="M100" s="201" t="s">
        <v>2223</v>
      </c>
      <c r="N100" s="184"/>
      <c r="O100" s="184"/>
      <c r="P100" s="193" t="s">
        <v>1959</v>
      </c>
      <c r="Q100" s="194" t="s">
        <v>2224</v>
      </c>
      <c r="R100" s="193" t="s">
        <v>2225</v>
      </c>
      <c r="S100" s="194" t="s">
        <v>2226</v>
      </c>
      <c r="T100" s="184"/>
      <c r="U100" s="184"/>
      <c r="V100" s="184"/>
      <c r="W100" s="184"/>
      <c r="X100" s="184"/>
      <c r="Y100" s="184"/>
      <c r="Z100" s="200" t="s">
        <v>2227</v>
      </c>
      <c r="AA100" s="201" t="s">
        <v>2228</v>
      </c>
      <c r="AB100" s="206" t="s">
        <v>2229</v>
      </c>
      <c r="AC100" s="207" t="s">
        <v>2230</v>
      </c>
      <c r="AD100" s="193" t="s">
        <v>2231</v>
      </c>
      <c r="AE100" s="194" t="s">
        <v>2232</v>
      </c>
      <c r="AF100" s="184"/>
      <c r="AG100" s="184"/>
      <c r="AH100" s="184"/>
      <c r="AI100" s="184"/>
      <c r="AJ100" s="184"/>
      <c r="AK100" s="184"/>
      <c r="AL100" s="184"/>
      <c r="AM100" s="184"/>
      <c r="AN100" s="184"/>
      <c r="AO100" s="184"/>
      <c r="AP100" s="184"/>
      <c r="AQ100" s="184"/>
      <c r="AR100" s="184"/>
      <c r="AS100" s="184"/>
      <c r="AT100" s="184"/>
      <c r="AU100" s="188"/>
      <c r="AW100" s="129">
        <f>IFERROR(IF(AW99+1&gt;BA26,IF(AW99+1&gt;BA26,IF(AZ27+AZ99&gt;BA27,"",AZ27+AZ99)),AW99+1),"")</f>
        <v>71</v>
      </c>
      <c r="AX100" s="129" t="str">
        <f>IFERROR(INDEX(H31:AU181,AW100,AX26),"")</f>
        <v/>
      </c>
      <c r="AY100" s="129" t="str">
        <f>IFERROR(INDEX(H31:AU181,AW100,AY26),"")</f>
        <v/>
      </c>
      <c r="AZ100" s="129">
        <f>IFERROR(IF(AW99+1&gt;BA26,AZ99+1,0),"")</f>
        <v>0</v>
      </c>
    </row>
    <row r="101" spans="1:52" ht="16.5" customHeight="1" x14ac:dyDescent="0.25">
      <c r="A101" s="114" t="s">
        <v>624</v>
      </c>
      <c r="B101" s="114">
        <v>13</v>
      </c>
      <c r="C101" s="114">
        <v>14</v>
      </c>
      <c r="D101" s="114">
        <v>30</v>
      </c>
      <c r="E101" s="114">
        <f t="shared" ref="E101:E106" si="6">D102-1</f>
        <v>34</v>
      </c>
      <c r="G101" s="184">
        <v>71</v>
      </c>
      <c r="H101" s="205"/>
      <c r="I101" s="184"/>
      <c r="J101" s="184"/>
      <c r="K101" s="184"/>
      <c r="L101" s="200" t="s">
        <v>2233</v>
      </c>
      <c r="M101" s="201" t="s">
        <v>2234</v>
      </c>
      <c r="N101" s="184"/>
      <c r="O101" s="184"/>
      <c r="P101" s="193" t="s">
        <v>2235</v>
      </c>
      <c r="Q101" s="194" t="s">
        <v>2236</v>
      </c>
      <c r="R101" s="193" t="s">
        <v>2237</v>
      </c>
      <c r="S101" s="194" t="s">
        <v>2238</v>
      </c>
      <c r="T101" s="184"/>
      <c r="U101" s="184"/>
      <c r="V101" s="184"/>
      <c r="W101" s="184"/>
      <c r="X101" s="184"/>
      <c r="Y101" s="184"/>
      <c r="Z101" s="200" t="s">
        <v>2239</v>
      </c>
      <c r="AA101" s="201" t="s">
        <v>2240</v>
      </c>
      <c r="AB101" s="206" t="s">
        <v>2241</v>
      </c>
      <c r="AC101" s="207" t="s">
        <v>2242</v>
      </c>
      <c r="AD101" s="193" t="s">
        <v>2243</v>
      </c>
      <c r="AE101" s="194" t="s">
        <v>2244</v>
      </c>
      <c r="AF101" s="184"/>
      <c r="AG101" s="184"/>
      <c r="AH101" s="184"/>
      <c r="AI101" s="184"/>
      <c r="AJ101" s="184"/>
      <c r="AK101" s="184"/>
      <c r="AL101" s="184"/>
      <c r="AM101" s="184"/>
      <c r="AN101" s="184"/>
      <c r="AO101" s="184"/>
      <c r="AP101" s="184"/>
      <c r="AQ101" s="184"/>
      <c r="AR101" s="184"/>
      <c r="AS101" s="184"/>
      <c r="AT101" s="184"/>
      <c r="AU101" s="188"/>
      <c r="AW101" s="129">
        <f>IFERROR(IF(AW100+1&gt;BA26,IF(AW100+1&gt;BA26,IF(AZ27+AZ100&gt;BA27,"",AZ27+AZ100)),AW100+1),"")</f>
        <v>72</v>
      </c>
      <c r="AX101" s="129" t="str">
        <f>IFERROR(INDEX(H31:AU181,AW101,AX26),"")</f>
        <v/>
      </c>
      <c r="AY101" s="129" t="str">
        <f>IFERROR(INDEX(H31:AU181,AW101,AY26),"")</f>
        <v/>
      </c>
      <c r="AZ101" s="129">
        <f>IFERROR(IF(AW100+1&gt;BA26,AZ100+1,0),"")</f>
        <v>0</v>
      </c>
    </row>
    <row r="102" spans="1:52" ht="16.5" customHeight="1" x14ac:dyDescent="0.25">
      <c r="A102" s="114" t="s">
        <v>625</v>
      </c>
      <c r="B102" s="114">
        <v>13</v>
      </c>
      <c r="C102" s="114">
        <v>14</v>
      </c>
      <c r="D102" s="114">
        <v>35</v>
      </c>
      <c r="E102" s="114">
        <f t="shared" si="6"/>
        <v>39</v>
      </c>
      <c r="G102" s="184">
        <v>72</v>
      </c>
      <c r="H102" s="205"/>
      <c r="I102" s="184"/>
      <c r="J102" s="184"/>
      <c r="K102" s="184"/>
      <c r="L102" s="200" t="s">
        <v>1326</v>
      </c>
      <c r="M102" s="201" t="s">
        <v>2245</v>
      </c>
      <c r="N102" s="184"/>
      <c r="O102" s="184"/>
      <c r="P102" s="193" t="s">
        <v>2246</v>
      </c>
      <c r="Q102" s="194" t="s">
        <v>2247</v>
      </c>
      <c r="R102" s="193" t="s">
        <v>2248</v>
      </c>
      <c r="S102" s="194" t="s">
        <v>2249</v>
      </c>
      <c r="T102" s="184"/>
      <c r="U102" s="184"/>
      <c r="V102" s="184"/>
      <c r="W102" s="184"/>
      <c r="X102" s="184"/>
      <c r="Y102" s="184"/>
      <c r="Z102" s="200" t="s">
        <v>2250</v>
      </c>
      <c r="AA102" s="201" t="s">
        <v>2251</v>
      </c>
      <c r="AB102" s="206" t="s">
        <v>2252</v>
      </c>
      <c r="AC102" s="207" t="s">
        <v>2253</v>
      </c>
      <c r="AD102" s="193" t="s">
        <v>2254</v>
      </c>
      <c r="AE102" s="194" t="s">
        <v>2255</v>
      </c>
      <c r="AF102" s="184"/>
      <c r="AG102" s="184"/>
      <c r="AH102" s="184"/>
      <c r="AI102" s="184"/>
      <c r="AJ102" s="184"/>
      <c r="AK102" s="184"/>
      <c r="AL102" s="184"/>
      <c r="AM102" s="184"/>
      <c r="AN102" s="184"/>
      <c r="AO102" s="184"/>
      <c r="AP102" s="184"/>
      <c r="AQ102" s="184"/>
      <c r="AR102" s="184"/>
      <c r="AS102" s="184"/>
      <c r="AT102" s="184"/>
      <c r="AU102" s="188"/>
      <c r="AW102" s="129">
        <f>IFERROR(IF(AW101+1&gt;BA26,IF(AW101+1&gt;BA26,IF(AZ27+AZ101&gt;BA27,"",AZ27+AZ101)),AW101+1),"")</f>
        <v>73</v>
      </c>
      <c r="AX102" s="129" t="str">
        <f>IFERROR(INDEX(H31:AU181,AW102,AX26),"")</f>
        <v/>
      </c>
      <c r="AY102" s="129" t="str">
        <f>IFERROR(INDEX(H31:AU181,AW102,AY26),"")</f>
        <v/>
      </c>
      <c r="AZ102" s="129">
        <f>IFERROR(IF(AW101+1&gt;BA26,AZ101+1,0),"")</f>
        <v>0</v>
      </c>
    </row>
    <row r="103" spans="1:52" ht="16.5" customHeight="1" x14ac:dyDescent="0.25">
      <c r="A103" s="114" t="s">
        <v>626</v>
      </c>
      <c r="B103" s="114">
        <v>13</v>
      </c>
      <c r="C103" s="114">
        <v>14</v>
      </c>
      <c r="D103" s="114">
        <v>40</v>
      </c>
      <c r="E103" s="114">
        <f t="shared" si="6"/>
        <v>44</v>
      </c>
      <c r="G103" s="184">
        <v>73</v>
      </c>
      <c r="H103" s="205"/>
      <c r="I103" s="184"/>
      <c r="J103" s="184"/>
      <c r="K103" s="184"/>
      <c r="L103" s="200" t="s">
        <v>2256</v>
      </c>
      <c r="M103" s="201" t="s">
        <v>2257</v>
      </c>
      <c r="N103" s="184"/>
      <c r="O103" s="184"/>
      <c r="P103" s="193" t="s">
        <v>2258</v>
      </c>
      <c r="Q103" s="194" t="s">
        <v>2259</v>
      </c>
      <c r="R103" s="200" t="s">
        <v>2260</v>
      </c>
      <c r="S103" s="201" t="s">
        <v>2261</v>
      </c>
      <c r="T103" s="184"/>
      <c r="U103" s="184"/>
      <c r="V103" s="184"/>
      <c r="W103" s="184"/>
      <c r="Z103" s="200" t="s">
        <v>2262</v>
      </c>
      <c r="AA103" s="201" t="s">
        <v>2263</v>
      </c>
      <c r="AB103" s="206" t="s">
        <v>2264</v>
      </c>
      <c r="AC103" s="207" t="s">
        <v>2265</v>
      </c>
      <c r="AD103" s="193" t="s">
        <v>2266</v>
      </c>
      <c r="AE103" s="194" t="s">
        <v>2267</v>
      </c>
      <c r="AF103" s="184"/>
      <c r="AG103" s="184"/>
      <c r="AH103" s="184"/>
      <c r="AI103" s="184"/>
      <c r="AJ103" s="184"/>
      <c r="AK103" s="184"/>
      <c r="AL103" s="184"/>
      <c r="AM103" s="184"/>
      <c r="AN103" s="184"/>
      <c r="AO103" s="184"/>
      <c r="AP103" s="184"/>
      <c r="AQ103" s="184"/>
      <c r="AR103" s="184"/>
      <c r="AS103" s="184"/>
      <c r="AT103" s="184"/>
      <c r="AU103" s="188"/>
      <c r="AW103" s="129">
        <f>IFERROR(IF(AW102+1&gt;BA26,IF(AW102+1&gt;BA26,IF(AZ27+AZ102&gt;BA27,"",AZ27+AZ102)),AW102+1),"")</f>
        <v>74</v>
      </c>
      <c r="AX103" s="129" t="str">
        <f>IFERROR(INDEX(H31:AU181,AW103,AX26),"")</f>
        <v/>
      </c>
      <c r="AY103" s="129" t="str">
        <f>IFERROR(INDEX(H31:AU181,AW103,AY26),"")</f>
        <v/>
      </c>
      <c r="AZ103" s="129">
        <f>IFERROR(IF(AW102+1&gt;BA26,AZ102+1,0),"")</f>
        <v>0</v>
      </c>
    </row>
    <row r="104" spans="1:52" ht="16.5" customHeight="1" x14ac:dyDescent="0.25">
      <c r="A104" s="114" t="s">
        <v>627</v>
      </c>
      <c r="B104" s="114">
        <v>13</v>
      </c>
      <c r="C104" s="114">
        <v>14</v>
      </c>
      <c r="D104" s="114">
        <v>45</v>
      </c>
      <c r="E104" s="114">
        <f t="shared" si="6"/>
        <v>49</v>
      </c>
      <c r="G104" s="184">
        <v>74</v>
      </c>
      <c r="H104" s="205"/>
      <c r="I104" s="184"/>
      <c r="J104" s="184"/>
      <c r="K104" s="184"/>
      <c r="L104" s="193" t="s">
        <v>2268</v>
      </c>
      <c r="M104" s="194" t="s">
        <v>2269</v>
      </c>
      <c r="N104" s="184"/>
      <c r="O104" s="184"/>
      <c r="P104" s="193" t="s">
        <v>2270</v>
      </c>
      <c r="Q104" s="194" t="s">
        <v>2271</v>
      </c>
      <c r="R104" s="200" t="s">
        <v>2272</v>
      </c>
      <c r="S104" s="201" t="s">
        <v>2273</v>
      </c>
      <c r="T104" s="184"/>
      <c r="U104" s="184"/>
      <c r="V104" s="184"/>
      <c r="W104" s="184"/>
      <c r="Z104" s="184"/>
      <c r="AA104" s="184"/>
      <c r="AB104" s="193" t="s">
        <v>659</v>
      </c>
      <c r="AC104" s="194" t="s">
        <v>2274</v>
      </c>
      <c r="AD104" s="200" t="s">
        <v>2275</v>
      </c>
      <c r="AE104" s="201" t="s">
        <v>2276</v>
      </c>
      <c r="AF104" s="184"/>
      <c r="AG104" s="184"/>
      <c r="AH104" s="184"/>
      <c r="AI104" s="184"/>
      <c r="AJ104" s="184"/>
      <c r="AK104" s="184"/>
      <c r="AL104" s="184"/>
      <c r="AM104" s="184"/>
      <c r="AN104" s="184"/>
      <c r="AO104" s="184"/>
      <c r="AP104" s="184"/>
      <c r="AQ104" s="184"/>
      <c r="AR104" s="184"/>
      <c r="AS104" s="184"/>
      <c r="AT104" s="184"/>
      <c r="AU104" s="188"/>
      <c r="AW104" s="129">
        <f>IFERROR(IF(AW103+1&gt;BA26,IF(AW103+1&gt;BA26,IF(AZ27+AZ103&gt;BA27,"",AZ27+AZ103)),AW103+1),"")</f>
        <v>75</v>
      </c>
      <c r="AX104" s="129" t="str">
        <f>IFERROR(INDEX(H31:AU181,AW104,AX26),"")</f>
        <v/>
      </c>
      <c r="AY104" s="129" t="str">
        <f>IFERROR(INDEX(H31:AU181,AW104,AY26),"")</f>
        <v/>
      </c>
      <c r="AZ104" s="129">
        <f>IFERROR(IF(AW103+1&gt;BA26,AZ103+1,0),"")</f>
        <v>0</v>
      </c>
    </row>
    <row r="105" spans="1:52" ht="16.5" customHeight="1" x14ac:dyDescent="0.25">
      <c r="A105" s="114" t="s">
        <v>628</v>
      </c>
      <c r="B105" s="114">
        <v>13</v>
      </c>
      <c r="C105" s="114">
        <v>14</v>
      </c>
      <c r="D105" s="114">
        <v>50</v>
      </c>
      <c r="E105" s="114">
        <f t="shared" si="6"/>
        <v>54</v>
      </c>
      <c r="G105" s="184">
        <v>75</v>
      </c>
      <c r="H105" s="205"/>
      <c r="I105" s="184"/>
      <c r="J105" s="184"/>
      <c r="K105" s="184"/>
      <c r="L105" s="193" t="s">
        <v>2277</v>
      </c>
      <c r="M105" s="194" t="s">
        <v>2278</v>
      </c>
      <c r="N105" s="184"/>
      <c r="O105" s="184"/>
      <c r="P105" s="193" t="s">
        <v>2279</v>
      </c>
      <c r="Q105" s="194" t="s">
        <v>2280</v>
      </c>
      <c r="R105" s="200" t="s">
        <v>2281</v>
      </c>
      <c r="S105" s="201" t="s">
        <v>2282</v>
      </c>
      <c r="T105" s="184"/>
      <c r="U105" s="184"/>
      <c r="V105" s="184"/>
      <c r="W105" s="184"/>
      <c r="Z105" s="184"/>
      <c r="AA105" s="184"/>
      <c r="AB105" s="193" t="s">
        <v>2283</v>
      </c>
      <c r="AC105" s="194" t="s">
        <v>2284</v>
      </c>
      <c r="AD105" s="200" t="s">
        <v>2285</v>
      </c>
      <c r="AE105" s="201" t="s">
        <v>2286</v>
      </c>
      <c r="AF105" s="184"/>
      <c r="AG105" s="184"/>
      <c r="AH105" s="184"/>
      <c r="AI105" s="184"/>
      <c r="AJ105" s="184"/>
      <c r="AK105" s="184"/>
      <c r="AL105" s="184"/>
      <c r="AM105" s="184"/>
      <c r="AN105" s="184"/>
      <c r="AO105" s="184"/>
      <c r="AP105" s="184"/>
      <c r="AQ105" s="184"/>
      <c r="AR105" s="184"/>
      <c r="AS105" s="184"/>
      <c r="AT105" s="184"/>
      <c r="AU105" s="188"/>
      <c r="AW105" s="129">
        <f>IFERROR(IF(AW104+1&gt;BA26,IF(AW104+1&gt;BA26,IF(AZ27+AZ104&gt;BA27,"",AZ27+AZ104)),AW104+1),"")</f>
        <v>76</v>
      </c>
      <c r="AX105" s="129" t="str">
        <f>IFERROR(INDEX(H31:AU181,AW105,AX26),"")</f>
        <v/>
      </c>
      <c r="AY105" s="129" t="str">
        <f>IFERROR(INDEX(H31:AU181,AW105,AY26),"")</f>
        <v/>
      </c>
      <c r="AZ105" s="129">
        <f>IFERROR(IF(AW104+1&gt;BA26,AZ104+1,0),"")</f>
        <v>0</v>
      </c>
    </row>
    <row r="106" spans="1:52" ht="16.5" customHeight="1" x14ac:dyDescent="0.25">
      <c r="A106" s="114" t="s">
        <v>629</v>
      </c>
      <c r="B106" s="114">
        <v>13</v>
      </c>
      <c r="C106" s="114">
        <v>14</v>
      </c>
      <c r="D106" s="114">
        <v>55</v>
      </c>
      <c r="E106" s="114">
        <f t="shared" si="6"/>
        <v>59</v>
      </c>
      <c r="G106" s="184">
        <v>76</v>
      </c>
      <c r="H106" s="205"/>
      <c r="I106" s="184"/>
      <c r="J106" s="184"/>
      <c r="K106" s="184"/>
      <c r="L106" s="193" t="s">
        <v>2287</v>
      </c>
      <c r="M106" s="194" t="s">
        <v>2288</v>
      </c>
      <c r="N106" s="184"/>
      <c r="O106" s="184"/>
      <c r="P106" s="193" t="s">
        <v>2289</v>
      </c>
      <c r="Q106" s="194" t="s">
        <v>2290</v>
      </c>
      <c r="R106" s="200" t="s">
        <v>2291</v>
      </c>
      <c r="S106" s="201" t="s">
        <v>2292</v>
      </c>
      <c r="T106" s="184"/>
      <c r="U106" s="184"/>
      <c r="V106" s="184"/>
      <c r="W106" s="184"/>
      <c r="Z106" s="184"/>
      <c r="AA106" s="184"/>
      <c r="AB106" s="193" t="s">
        <v>2293</v>
      </c>
      <c r="AC106" s="194" t="s">
        <v>2294</v>
      </c>
      <c r="AD106" s="200" t="s">
        <v>2295</v>
      </c>
      <c r="AE106" s="201" t="s">
        <v>2296</v>
      </c>
      <c r="AF106" s="184"/>
      <c r="AG106" s="184"/>
      <c r="AH106" s="184"/>
      <c r="AI106" s="184"/>
      <c r="AJ106" s="184"/>
      <c r="AK106" s="184"/>
      <c r="AL106" s="184"/>
      <c r="AM106" s="184"/>
      <c r="AN106" s="184"/>
      <c r="AO106" s="184"/>
      <c r="AP106" s="184"/>
      <c r="AQ106" s="184"/>
      <c r="AR106" s="184"/>
      <c r="AS106" s="184"/>
      <c r="AT106" s="184"/>
      <c r="AU106" s="188"/>
      <c r="AW106" s="129">
        <f>IFERROR(IF(AW105+1&gt;BA26,IF(AW105+1&gt;BA26,IF(AZ27+AZ105&gt;BA27,"",AZ27+AZ105)),AW105+1),"")</f>
        <v>77</v>
      </c>
      <c r="AX106" s="129" t="str">
        <f>IFERROR(INDEX(H31:AU181,AW106,AX26),"")</f>
        <v/>
      </c>
      <c r="AY106" s="129" t="str">
        <f>IFERROR(INDEX(H31:AU181,AW106,AY26),"")</f>
        <v/>
      </c>
      <c r="AZ106" s="129">
        <f>IFERROR(IF(AW105+1&gt;BA26,AZ105+1,0),"")</f>
        <v>0</v>
      </c>
    </row>
    <row r="107" spans="1:52" ht="16.5" customHeight="1" x14ac:dyDescent="0.25">
      <c r="A107" s="114" t="s">
        <v>630</v>
      </c>
      <c r="B107" s="114">
        <v>13</v>
      </c>
      <c r="C107" s="114">
        <v>14</v>
      </c>
      <c r="D107" s="114">
        <v>60</v>
      </c>
      <c r="E107" s="114">
        <v>64</v>
      </c>
      <c r="G107" s="184">
        <v>77</v>
      </c>
      <c r="H107" s="205"/>
      <c r="I107" s="184"/>
      <c r="J107" s="184"/>
      <c r="K107" s="184"/>
      <c r="L107" s="193" t="s">
        <v>2297</v>
      </c>
      <c r="M107" s="194" t="s">
        <v>2298</v>
      </c>
      <c r="N107" s="184"/>
      <c r="O107" s="184"/>
      <c r="P107" s="200" t="s">
        <v>1959</v>
      </c>
      <c r="Q107" s="201" t="s">
        <v>2299</v>
      </c>
      <c r="R107" s="200" t="s">
        <v>2300</v>
      </c>
      <c r="S107" s="201" t="s">
        <v>2301</v>
      </c>
      <c r="T107" s="184"/>
      <c r="U107" s="184"/>
      <c r="V107" s="184"/>
      <c r="W107" s="184"/>
      <c r="Z107" s="184"/>
      <c r="AA107" s="184"/>
      <c r="AB107" s="193" t="s">
        <v>2302</v>
      </c>
      <c r="AC107" s="194" t="s">
        <v>2303</v>
      </c>
      <c r="AD107" s="200" t="s">
        <v>2304</v>
      </c>
      <c r="AE107" s="201" t="s">
        <v>2305</v>
      </c>
      <c r="AF107" s="184"/>
      <c r="AG107" s="184"/>
      <c r="AH107" s="184"/>
      <c r="AI107" s="184"/>
      <c r="AJ107" s="184"/>
      <c r="AK107" s="184"/>
      <c r="AL107" s="184"/>
      <c r="AM107" s="184"/>
      <c r="AN107" s="184"/>
      <c r="AO107" s="184"/>
      <c r="AP107" s="184"/>
      <c r="AQ107" s="184"/>
      <c r="AR107" s="184"/>
      <c r="AS107" s="184"/>
      <c r="AT107" s="184"/>
      <c r="AU107" s="188"/>
      <c r="AW107" s="129">
        <f>IFERROR(IF(AW106+1&gt;BA26,IF(AW106+1&gt;BA26,IF(AZ27+AZ106&gt;BA27,"",AZ27+AZ106)),AW106+1),"")</f>
        <v>78</v>
      </c>
      <c r="AX107" s="129" t="str">
        <f>IFERROR(INDEX(H31:AU181,AW107,AX26),"")</f>
        <v/>
      </c>
      <c r="AY107" s="129" t="str">
        <f>IFERROR(INDEX(H31:AU181,AW107,AY26),"")</f>
        <v/>
      </c>
      <c r="AZ107" s="129">
        <f>IFERROR(IF(AW106+1&gt;BA26,AZ106+1,0),"")</f>
        <v>0</v>
      </c>
    </row>
    <row r="108" spans="1:52" ht="16.5" customHeight="1" x14ac:dyDescent="0.25">
      <c r="A108" s="198" t="s">
        <v>632</v>
      </c>
      <c r="B108" s="198">
        <v>15</v>
      </c>
      <c r="C108" s="198">
        <v>16</v>
      </c>
      <c r="D108" s="198">
        <v>26</v>
      </c>
      <c r="E108" s="198">
        <f>D109-1</f>
        <v>29</v>
      </c>
      <c r="G108" s="184">
        <v>78</v>
      </c>
      <c r="H108" s="205"/>
      <c r="I108" s="184"/>
      <c r="J108" s="184"/>
      <c r="K108" s="184"/>
      <c r="L108" s="193" t="s">
        <v>2306</v>
      </c>
      <c r="M108" s="194" t="s">
        <v>2307</v>
      </c>
      <c r="N108" s="184"/>
      <c r="O108" s="184"/>
      <c r="P108" s="200" t="s">
        <v>2308</v>
      </c>
      <c r="Q108" s="201" t="s">
        <v>2309</v>
      </c>
      <c r="R108" s="200" t="s">
        <v>2310</v>
      </c>
      <c r="S108" s="201" t="s">
        <v>2311</v>
      </c>
      <c r="T108" s="184"/>
      <c r="U108" s="184"/>
      <c r="V108" s="184"/>
      <c r="W108" s="184"/>
      <c r="Z108" s="184"/>
      <c r="AA108" s="184"/>
      <c r="AB108" s="193" t="s">
        <v>2312</v>
      </c>
      <c r="AC108" s="194" t="s">
        <v>2313</v>
      </c>
      <c r="AD108" s="193" t="s">
        <v>2314</v>
      </c>
      <c r="AE108" s="194" t="s">
        <v>2315</v>
      </c>
      <c r="AF108" s="184"/>
      <c r="AG108" s="184"/>
      <c r="AH108" s="184"/>
      <c r="AI108" s="184"/>
      <c r="AJ108" s="184"/>
      <c r="AK108" s="184"/>
      <c r="AL108" s="184"/>
      <c r="AM108" s="184"/>
      <c r="AN108" s="184"/>
      <c r="AO108" s="184"/>
      <c r="AP108" s="184"/>
      <c r="AQ108" s="184"/>
      <c r="AR108" s="184"/>
      <c r="AS108" s="184"/>
      <c r="AT108" s="184"/>
      <c r="AU108" s="188"/>
      <c r="AW108" s="129">
        <f>IFERROR(IF(AW107+1&gt;BA26,IF(AW107+1&gt;BA26,IF(AZ27+AZ107&gt;BA27,"",AZ27+AZ107)),AW107+1),"")</f>
        <v>79</v>
      </c>
      <c r="AX108" s="129" t="str">
        <f>IFERROR(INDEX(H31:AU181,AW108,AX26),"")</f>
        <v/>
      </c>
      <c r="AY108" s="129" t="str">
        <f>IFERROR(INDEX(H31:AU181,AW108,AY26),"")</f>
        <v/>
      </c>
      <c r="AZ108" s="129">
        <f>IFERROR(IF(AW107+1&gt;BA26,AZ107+1,0),"")</f>
        <v>0</v>
      </c>
    </row>
    <row r="109" spans="1:52" ht="16.5" customHeight="1" x14ac:dyDescent="0.25">
      <c r="A109" s="114" t="s">
        <v>633</v>
      </c>
      <c r="B109" s="114">
        <v>15</v>
      </c>
      <c r="C109" s="114">
        <v>16</v>
      </c>
      <c r="D109" s="114">
        <v>30</v>
      </c>
      <c r="E109" s="114">
        <f t="shared" ref="E109:E113" si="7">D110-1</f>
        <v>34</v>
      </c>
      <c r="G109" s="184">
        <v>79</v>
      </c>
      <c r="H109" s="205"/>
      <c r="I109" s="184"/>
      <c r="J109" s="184"/>
      <c r="K109" s="184"/>
      <c r="L109" s="193" t="s">
        <v>1153</v>
      </c>
      <c r="M109" s="194" t="s">
        <v>1154</v>
      </c>
      <c r="N109" s="184"/>
      <c r="O109" s="184"/>
      <c r="P109" s="200" t="s">
        <v>2316</v>
      </c>
      <c r="Q109" s="201" t="s">
        <v>2317</v>
      </c>
      <c r="R109" s="193" t="s">
        <v>2318</v>
      </c>
      <c r="S109" s="194" t="s">
        <v>2319</v>
      </c>
      <c r="T109" s="184"/>
      <c r="U109" s="184"/>
      <c r="V109" s="184"/>
      <c r="W109" s="184"/>
      <c r="Z109" s="184"/>
      <c r="AA109" s="184"/>
      <c r="AB109" s="193" t="s">
        <v>2320</v>
      </c>
      <c r="AC109" s="194" t="s">
        <v>2321</v>
      </c>
      <c r="AD109" s="193" t="s">
        <v>2322</v>
      </c>
      <c r="AE109" s="194" t="s">
        <v>2323</v>
      </c>
      <c r="AF109" s="184"/>
      <c r="AG109" s="184"/>
      <c r="AH109" s="184"/>
      <c r="AI109" s="184"/>
      <c r="AJ109" s="184"/>
      <c r="AK109" s="184"/>
      <c r="AL109" s="184"/>
      <c r="AM109" s="184"/>
      <c r="AN109" s="184"/>
      <c r="AO109" s="184"/>
      <c r="AP109" s="184"/>
      <c r="AQ109" s="184"/>
      <c r="AR109" s="184"/>
      <c r="AS109" s="184"/>
      <c r="AT109" s="184"/>
      <c r="AU109" s="188"/>
      <c r="AW109" s="129">
        <f>IFERROR(IF(AW108+1&gt;BA26,IF(AW108+1&gt;BA26,IF(AZ27+AZ108&gt;BA27,"",AZ27+AZ108)),AW108+1),"")</f>
        <v>80</v>
      </c>
      <c r="AX109" s="129" t="str">
        <f>IFERROR(INDEX(H31:AU181,AW109,AX26),"")</f>
        <v/>
      </c>
      <c r="AY109" s="129" t="str">
        <f>IFERROR(INDEX(H31:AU181,AW109,AY26),"")</f>
        <v/>
      </c>
      <c r="AZ109" s="129">
        <f>IFERROR(IF(AW108+1&gt;BA26,AZ108+1,0),"")</f>
        <v>0</v>
      </c>
    </row>
    <row r="110" spans="1:52" ht="16.5" customHeight="1" x14ac:dyDescent="0.25">
      <c r="A110" s="114" t="s">
        <v>634</v>
      </c>
      <c r="B110" s="114">
        <v>15</v>
      </c>
      <c r="C110" s="114">
        <v>16</v>
      </c>
      <c r="D110" s="114">
        <v>35</v>
      </c>
      <c r="E110" s="114">
        <f t="shared" si="7"/>
        <v>40</v>
      </c>
      <c r="G110" s="184">
        <v>80</v>
      </c>
      <c r="H110" s="205"/>
      <c r="I110" s="184"/>
      <c r="J110" s="184"/>
      <c r="K110" s="184"/>
      <c r="L110" s="193" t="s">
        <v>2324</v>
      </c>
      <c r="M110" s="194" t="s">
        <v>2325</v>
      </c>
      <c r="N110" s="184"/>
      <c r="O110" s="184"/>
      <c r="P110" s="200" t="s">
        <v>2326</v>
      </c>
      <c r="Q110" s="201" t="s">
        <v>2327</v>
      </c>
      <c r="R110" s="193" t="s">
        <v>2328</v>
      </c>
      <c r="S110" s="194" t="s">
        <v>2329</v>
      </c>
      <c r="T110" s="184"/>
      <c r="U110" s="184"/>
      <c r="V110" s="184"/>
      <c r="W110" s="184"/>
      <c r="Z110" s="184"/>
      <c r="AA110" s="184"/>
      <c r="AB110" s="195" t="s">
        <v>2330</v>
      </c>
      <c r="AC110" s="196" t="s">
        <v>2331</v>
      </c>
      <c r="AD110" s="193" t="s">
        <v>2332</v>
      </c>
      <c r="AE110" s="194" t="s">
        <v>2333</v>
      </c>
      <c r="AF110" s="184"/>
      <c r="AG110" s="184"/>
      <c r="AH110" s="184"/>
      <c r="AI110" s="184"/>
      <c r="AJ110" s="184"/>
      <c r="AK110" s="184"/>
      <c r="AL110" s="184"/>
      <c r="AM110" s="184"/>
      <c r="AN110" s="184"/>
      <c r="AO110" s="184"/>
      <c r="AP110" s="184"/>
      <c r="AQ110" s="184"/>
      <c r="AR110" s="184"/>
      <c r="AS110" s="184"/>
      <c r="AT110" s="184"/>
      <c r="AU110" s="188"/>
      <c r="AW110" s="129">
        <f>IFERROR(IF(AW109+1&gt;BA26,IF(AW109+1&gt;BA26,IF(AZ27+AZ109&gt;BA27,"",AZ27+AZ109)),AW109+1),"")</f>
        <v>81</v>
      </c>
      <c r="AX110" s="129" t="str">
        <f>IFERROR(INDEX(H31:AU181,AW110,AX26),"")</f>
        <v/>
      </c>
      <c r="AY110" s="129" t="str">
        <f>IFERROR(INDEX(H31:AU181,AW110,AY26),"")</f>
        <v/>
      </c>
      <c r="AZ110" s="129">
        <f>IFERROR(IF(AW109+1&gt;BA26,AZ109+1,0),"")</f>
        <v>0</v>
      </c>
    </row>
    <row r="111" spans="1:52" ht="16.5" customHeight="1" x14ac:dyDescent="0.25">
      <c r="A111" s="114" t="s">
        <v>635</v>
      </c>
      <c r="B111" s="114">
        <v>15</v>
      </c>
      <c r="C111" s="114">
        <v>16</v>
      </c>
      <c r="D111" s="114">
        <v>41</v>
      </c>
      <c r="E111" s="114">
        <f t="shared" si="7"/>
        <v>46</v>
      </c>
      <c r="G111" s="184">
        <v>81</v>
      </c>
      <c r="H111" s="205"/>
      <c r="I111" s="184"/>
      <c r="J111" s="184"/>
      <c r="K111" s="184"/>
      <c r="L111" s="200" t="s">
        <v>2334</v>
      </c>
      <c r="M111" s="201" t="s">
        <v>2335</v>
      </c>
      <c r="N111" s="184"/>
      <c r="O111" s="184"/>
      <c r="P111" s="200" t="s">
        <v>2336</v>
      </c>
      <c r="Q111" s="201" t="s">
        <v>2337</v>
      </c>
      <c r="R111" s="193" t="s">
        <v>2338</v>
      </c>
      <c r="S111" s="194" t="s">
        <v>2339</v>
      </c>
      <c r="T111" s="184"/>
      <c r="U111" s="184"/>
      <c r="V111" s="184"/>
      <c r="W111" s="184"/>
      <c r="Z111" s="184"/>
      <c r="AA111" s="184"/>
      <c r="AB111" s="195" t="s">
        <v>2340</v>
      </c>
      <c r="AC111" s="196" t="s">
        <v>2341</v>
      </c>
      <c r="AD111" s="193" t="s">
        <v>2342</v>
      </c>
      <c r="AE111" s="194" t="s">
        <v>2343</v>
      </c>
      <c r="AF111" s="184"/>
      <c r="AG111" s="184"/>
      <c r="AH111" s="184"/>
      <c r="AI111" s="184"/>
      <c r="AJ111" s="184"/>
      <c r="AK111" s="184"/>
      <c r="AL111" s="184"/>
      <c r="AM111" s="184"/>
      <c r="AN111" s="184"/>
      <c r="AO111" s="184"/>
      <c r="AP111" s="184"/>
      <c r="AQ111" s="184"/>
      <c r="AR111" s="184"/>
      <c r="AS111" s="184"/>
      <c r="AT111" s="184"/>
      <c r="AU111" s="188"/>
      <c r="AW111" s="129">
        <f>IFERROR(IF(AW110+1&gt;BA26,IF(AW110+1&gt;BA26,IF(AZ27+AZ110&gt;BA27,"",AZ27+AZ110)),AW110+1),"")</f>
        <v>82</v>
      </c>
      <c r="AX111" s="129" t="str">
        <f>IFERROR(INDEX(H31:AU181,AW111,AX26),"")</f>
        <v/>
      </c>
      <c r="AY111" s="129" t="str">
        <f>IFERROR(INDEX(H31:AU181,AW111,AY26),"")</f>
        <v/>
      </c>
      <c r="AZ111" s="129">
        <f>IFERROR(IF(AW110+1&gt;BA26,AZ110+1,0),"")</f>
        <v>0</v>
      </c>
    </row>
    <row r="112" spans="1:52" ht="16.5" customHeight="1" x14ac:dyDescent="0.25">
      <c r="A112" s="114" t="s">
        <v>636</v>
      </c>
      <c r="B112" s="114">
        <v>15</v>
      </c>
      <c r="C112" s="114">
        <v>16</v>
      </c>
      <c r="D112" s="114">
        <v>47</v>
      </c>
      <c r="E112" s="114">
        <f t="shared" si="7"/>
        <v>52</v>
      </c>
      <c r="G112" s="184">
        <v>82</v>
      </c>
      <c r="H112" s="205"/>
      <c r="I112" s="184"/>
      <c r="J112" s="184"/>
      <c r="K112" s="184"/>
      <c r="L112" s="200" t="s">
        <v>937</v>
      </c>
      <c r="M112" s="201" t="s">
        <v>2344</v>
      </c>
      <c r="N112" s="184"/>
      <c r="O112" s="184"/>
      <c r="P112" s="200" t="s">
        <v>2345</v>
      </c>
      <c r="Q112" s="201" t="s">
        <v>2346</v>
      </c>
      <c r="R112" s="193" t="s">
        <v>2347</v>
      </c>
      <c r="S112" s="194" t="s">
        <v>2348</v>
      </c>
      <c r="T112" s="184"/>
      <c r="U112" s="184"/>
      <c r="V112" s="184"/>
      <c r="W112" s="184"/>
      <c r="Z112" s="184"/>
      <c r="AA112" s="184"/>
      <c r="AB112" s="195" t="s">
        <v>2349</v>
      </c>
      <c r="AC112" s="196" t="s">
        <v>2350</v>
      </c>
      <c r="AD112" s="193" t="s">
        <v>2351</v>
      </c>
      <c r="AE112" s="194" t="s">
        <v>2352</v>
      </c>
      <c r="AF112" s="184"/>
      <c r="AG112" s="184"/>
      <c r="AH112" s="184"/>
      <c r="AI112" s="184"/>
      <c r="AJ112" s="184"/>
      <c r="AK112" s="184"/>
      <c r="AL112" s="184"/>
      <c r="AM112" s="184"/>
      <c r="AN112" s="184"/>
      <c r="AO112" s="184"/>
      <c r="AP112" s="184"/>
      <c r="AQ112" s="184"/>
      <c r="AR112" s="184"/>
      <c r="AS112" s="184"/>
      <c r="AT112" s="184"/>
      <c r="AU112" s="188"/>
      <c r="AW112" s="129">
        <f>IFERROR(IF(AW111+1&gt;BA26,IF(AW111+1&gt;BA26,IF(AZ27+AZ111&gt;BA27,"",AZ27+AZ111)),AW111+1),"")</f>
        <v>83</v>
      </c>
      <c r="AX112" s="129" t="str">
        <f>IFERROR(INDEX(H31:AU181,AW112,AX26),"")</f>
        <v/>
      </c>
      <c r="AY112" s="129" t="str">
        <f>IFERROR(INDEX(H31:AU181,AW112,AY26),"")</f>
        <v/>
      </c>
      <c r="AZ112" s="129">
        <f>IFERROR(IF(AW111+1&gt;BA26,AZ111+1,0),"")</f>
        <v>0</v>
      </c>
    </row>
    <row r="113" spans="1:52" ht="16.5" customHeight="1" x14ac:dyDescent="0.25">
      <c r="A113" s="114" t="s">
        <v>637</v>
      </c>
      <c r="B113" s="114">
        <v>15</v>
      </c>
      <c r="C113" s="114">
        <v>16</v>
      </c>
      <c r="D113" s="114">
        <v>53</v>
      </c>
      <c r="E113" s="114">
        <f t="shared" si="7"/>
        <v>57</v>
      </c>
      <c r="G113" s="184">
        <v>83</v>
      </c>
      <c r="H113" s="205"/>
      <c r="I113" s="184"/>
      <c r="J113" s="184"/>
      <c r="K113" s="184"/>
      <c r="L113" s="200" t="s">
        <v>2353</v>
      </c>
      <c r="M113" s="201" t="s">
        <v>2354</v>
      </c>
      <c r="N113" s="184"/>
      <c r="O113" s="184"/>
      <c r="P113" s="193" t="s">
        <v>605</v>
      </c>
      <c r="Q113" s="194" t="s">
        <v>2355</v>
      </c>
      <c r="R113" s="200" t="s">
        <v>2356</v>
      </c>
      <c r="S113" s="201" t="s">
        <v>2357</v>
      </c>
      <c r="T113" s="184"/>
      <c r="U113" s="184"/>
      <c r="V113" s="184"/>
      <c r="W113" s="184"/>
      <c r="Z113" s="184"/>
      <c r="AA113" s="184"/>
      <c r="AB113" s="195" t="s">
        <v>2358</v>
      </c>
      <c r="AC113" s="196" t="s">
        <v>2359</v>
      </c>
      <c r="AD113" s="184"/>
      <c r="AE113" s="184"/>
      <c r="AF113" s="184"/>
      <c r="AG113" s="184"/>
      <c r="AH113" s="184"/>
      <c r="AI113" s="184"/>
      <c r="AJ113" s="184"/>
      <c r="AK113" s="184"/>
      <c r="AL113" s="184"/>
      <c r="AM113" s="184"/>
      <c r="AN113" s="184"/>
      <c r="AO113" s="184"/>
      <c r="AP113" s="184"/>
      <c r="AQ113" s="184"/>
      <c r="AR113" s="184"/>
      <c r="AS113" s="184"/>
      <c r="AT113" s="184"/>
      <c r="AU113" s="188"/>
      <c r="AW113" s="129">
        <f>IFERROR(IF(AW112+1&gt;BA26,IF(AW112+1&gt;BA26,IF(AZ27+AZ112&gt;BA27,"",AZ27+AZ112)),AW112+1),"")</f>
        <v>84</v>
      </c>
      <c r="AX113" s="129" t="str">
        <f>IFERROR(INDEX(H31:AU181,AW113,AX26),"")</f>
        <v/>
      </c>
      <c r="AY113" s="129" t="str">
        <f>IFERROR(INDEX(H31:AU181,AW113,AY26),"")</f>
        <v/>
      </c>
      <c r="AZ113" s="129">
        <f>IFERROR(IF(AW112+1&gt;BA26,AZ112+1,0),"")</f>
        <v>0</v>
      </c>
    </row>
    <row r="114" spans="1:52" ht="16.5" customHeight="1" x14ac:dyDescent="0.25">
      <c r="A114" s="114" t="s">
        <v>638</v>
      </c>
      <c r="B114" s="114">
        <v>15</v>
      </c>
      <c r="C114" s="114">
        <v>16</v>
      </c>
      <c r="D114" s="114">
        <v>58</v>
      </c>
      <c r="E114" s="114">
        <v>63</v>
      </c>
      <c r="G114" s="184">
        <v>84</v>
      </c>
      <c r="H114" s="205"/>
      <c r="I114" s="184"/>
      <c r="J114" s="184"/>
      <c r="K114" s="184"/>
      <c r="L114" s="200" t="s">
        <v>2360</v>
      </c>
      <c r="M114" s="201" t="s">
        <v>2361</v>
      </c>
      <c r="N114" s="184"/>
      <c r="O114" s="184"/>
      <c r="P114" s="193" t="s">
        <v>2362</v>
      </c>
      <c r="Q114" s="194" t="s">
        <v>2363</v>
      </c>
      <c r="R114" s="200" t="s">
        <v>2364</v>
      </c>
      <c r="S114" s="201" t="s">
        <v>2365</v>
      </c>
      <c r="T114" s="184"/>
      <c r="U114" s="184"/>
      <c r="V114" s="184"/>
      <c r="W114" s="184"/>
      <c r="Z114" s="184"/>
      <c r="AA114" s="184"/>
      <c r="AB114" s="195" t="s">
        <v>2366</v>
      </c>
      <c r="AC114" s="196" t="s">
        <v>2367</v>
      </c>
      <c r="AD114" s="184"/>
      <c r="AE114" s="184"/>
      <c r="AF114" s="184"/>
      <c r="AG114" s="184"/>
      <c r="AH114" s="184"/>
      <c r="AI114" s="184"/>
      <c r="AJ114" s="184"/>
      <c r="AK114" s="184"/>
      <c r="AL114" s="184"/>
      <c r="AM114" s="184"/>
      <c r="AN114" s="184"/>
      <c r="AO114" s="184"/>
      <c r="AP114" s="184"/>
      <c r="AQ114" s="184"/>
      <c r="AR114" s="184"/>
      <c r="AS114" s="184"/>
      <c r="AT114" s="184"/>
      <c r="AU114" s="188"/>
      <c r="AW114" s="129">
        <f>IFERROR(IF(AW113+1&gt;BA26,IF(AW113+1&gt;BA26,IF(AZ27+AZ113&gt;BA27,"",AZ27+AZ113)),AW113+1),"")</f>
        <v>85</v>
      </c>
      <c r="AX114" s="129" t="str">
        <f>IFERROR(INDEX(H31:AU181,AW114,AX26),"")</f>
        <v/>
      </c>
      <c r="AY114" s="129" t="str">
        <f>IFERROR(INDEX(H31:AU181,AW114,AY26),"")</f>
        <v/>
      </c>
      <c r="AZ114" s="129">
        <f>IFERROR(IF(AW113+1&gt;BA26,AZ113+1,0),"")</f>
        <v>0</v>
      </c>
    </row>
    <row r="115" spans="1:52" ht="16.5" customHeight="1" x14ac:dyDescent="0.25">
      <c r="A115" s="114" t="s">
        <v>639</v>
      </c>
      <c r="B115" s="114">
        <v>15</v>
      </c>
      <c r="C115" s="114">
        <v>16</v>
      </c>
      <c r="D115" s="114">
        <v>64</v>
      </c>
      <c r="E115" s="114">
        <v>69</v>
      </c>
      <c r="G115" s="184">
        <v>85</v>
      </c>
      <c r="H115" s="205"/>
      <c r="I115" s="184"/>
      <c r="J115" s="184"/>
      <c r="K115" s="184"/>
      <c r="L115" s="200" t="s">
        <v>1153</v>
      </c>
      <c r="M115" s="201" t="s">
        <v>2368</v>
      </c>
      <c r="N115" s="184"/>
      <c r="O115" s="184"/>
      <c r="P115" s="193" t="s">
        <v>2369</v>
      </c>
      <c r="Q115" s="194" t="s">
        <v>2370</v>
      </c>
      <c r="R115" s="200" t="s">
        <v>2371</v>
      </c>
      <c r="S115" s="201" t="s">
        <v>2372</v>
      </c>
      <c r="T115" s="184"/>
      <c r="U115" s="184"/>
      <c r="V115" s="184"/>
      <c r="W115" s="184"/>
      <c r="Z115" s="184"/>
      <c r="AA115" s="184"/>
      <c r="AB115" s="195" t="s">
        <v>2373</v>
      </c>
      <c r="AC115" s="196" t="s">
        <v>2374</v>
      </c>
      <c r="AD115" s="184"/>
      <c r="AE115" s="184"/>
      <c r="AF115" s="184"/>
      <c r="AG115" s="184"/>
      <c r="AH115" s="184"/>
      <c r="AI115" s="184"/>
      <c r="AJ115" s="184"/>
      <c r="AK115" s="184"/>
      <c r="AL115" s="184"/>
      <c r="AM115" s="184"/>
      <c r="AN115" s="184"/>
      <c r="AO115" s="184"/>
      <c r="AP115" s="184"/>
      <c r="AQ115" s="184"/>
      <c r="AR115" s="184"/>
      <c r="AS115" s="184"/>
      <c r="AT115" s="184"/>
      <c r="AU115" s="188"/>
      <c r="AW115" s="129">
        <f>IFERROR(IF(AW114+1&gt;BA26,IF(AW114+1&gt;BA26,IF(AZ27+AZ114&gt;BA27,"",AZ27+AZ114)),AW114+1),"")</f>
        <v>86</v>
      </c>
      <c r="AX115" s="129" t="str">
        <f>IFERROR(INDEX(H31:AU181,AW115,AX26),"")</f>
        <v/>
      </c>
      <c r="AY115" s="129" t="str">
        <f>IFERROR(INDEX(H31:AU181,AW115,AY26),"")</f>
        <v/>
      </c>
      <c r="AZ115" s="129">
        <f>IFERROR(IF(AW114+1&gt;BA26,AZ114+1,0),"")</f>
        <v>0</v>
      </c>
    </row>
    <row r="116" spans="1:52" ht="16.5" customHeight="1" x14ac:dyDescent="0.25">
      <c r="A116" s="198" t="s">
        <v>641</v>
      </c>
      <c r="B116" s="198">
        <v>17</v>
      </c>
      <c r="C116" s="198">
        <v>18</v>
      </c>
      <c r="D116" s="198">
        <v>18</v>
      </c>
      <c r="E116" s="198">
        <f>D117-1</f>
        <v>22</v>
      </c>
      <c r="G116" s="184">
        <v>86</v>
      </c>
      <c r="H116" s="205"/>
      <c r="I116" s="184"/>
      <c r="J116" s="184"/>
      <c r="K116" s="184"/>
      <c r="L116" s="200" t="s">
        <v>2375</v>
      </c>
      <c r="M116" s="201" t="s">
        <v>2376</v>
      </c>
      <c r="N116" s="184"/>
      <c r="O116" s="184"/>
      <c r="P116" s="193" t="s">
        <v>2377</v>
      </c>
      <c r="Q116" s="194" t="s">
        <v>2378</v>
      </c>
      <c r="R116" s="200" t="s">
        <v>2379</v>
      </c>
      <c r="S116" s="201" t="s">
        <v>2380</v>
      </c>
      <c r="T116" s="184"/>
      <c r="U116" s="184"/>
      <c r="V116" s="184"/>
      <c r="W116" s="184"/>
      <c r="Z116" s="184"/>
      <c r="AA116" s="184"/>
      <c r="AB116" s="193" t="s">
        <v>661</v>
      </c>
      <c r="AC116" s="194" t="s">
        <v>2381</v>
      </c>
      <c r="AD116" s="184"/>
      <c r="AE116" s="184"/>
      <c r="AF116" s="184"/>
      <c r="AG116" s="184"/>
      <c r="AH116" s="184"/>
      <c r="AI116" s="184"/>
      <c r="AJ116" s="184"/>
      <c r="AK116" s="184"/>
      <c r="AL116" s="184"/>
      <c r="AM116" s="184"/>
      <c r="AN116" s="184"/>
      <c r="AO116" s="184"/>
      <c r="AP116" s="184"/>
      <c r="AQ116" s="184"/>
      <c r="AR116" s="184"/>
      <c r="AS116" s="184"/>
      <c r="AT116" s="184"/>
      <c r="AU116" s="188"/>
      <c r="AW116" s="129">
        <f>IFERROR(IF(AW115+1&gt;BA26,IF(AW115+1&gt;BA26,IF(AZ27+AZ115&gt;BA27,"",AZ27+AZ115)),AW115+1),"")</f>
        <v>87</v>
      </c>
      <c r="AX116" s="129" t="str">
        <f>IFERROR(INDEX(H31:AU181,AW116,AX26),"")</f>
        <v/>
      </c>
      <c r="AY116" s="129" t="str">
        <f>IFERROR(INDEX(H31:AU181,AW116,AY26),"")</f>
        <v/>
      </c>
      <c r="AZ116" s="129">
        <f>IFERROR(IF(AW115+1&gt;BA26,AZ115+1,0),"")</f>
        <v>0</v>
      </c>
    </row>
    <row r="117" spans="1:52" ht="16.5" customHeight="1" x14ac:dyDescent="0.25">
      <c r="A117" s="114" t="s">
        <v>642</v>
      </c>
      <c r="B117" s="114">
        <v>17</v>
      </c>
      <c r="C117" s="114">
        <v>18</v>
      </c>
      <c r="D117" s="114">
        <v>23</v>
      </c>
      <c r="E117" s="114">
        <f t="shared" ref="E117:E123" si="8">D118-1</f>
        <v>27</v>
      </c>
      <c r="G117" s="184">
        <v>87</v>
      </c>
      <c r="H117" s="205"/>
      <c r="I117" s="184"/>
      <c r="J117" s="184"/>
      <c r="K117" s="184"/>
      <c r="L117" s="193" t="s">
        <v>2382</v>
      </c>
      <c r="M117" s="194" t="s">
        <v>2383</v>
      </c>
      <c r="N117" s="184"/>
      <c r="O117" s="184"/>
      <c r="P117" s="193" t="s">
        <v>2384</v>
      </c>
      <c r="Q117" s="194" t="s">
        <v>2385</v>
      </c>
      <c r="R117" s="200" t="s">
        <v>2386</v>
      </c>
      <c r="S117" s="201" t="s">
        <v>2387</v>
      </c>
      <c r="T117" s="184"/>
      <c r="U117" s="184"/>
      <c r="V117" s="184"/>
      <c r="W117" s="184"/>
      <c r="Z117" s="184"/>
      <c r="AA117" s="184"/>
      <c r="AB117" s="193" t="s">
        <v>2388</v>
      </c>
      <c r="AC117" s="194" t="s">
        <v>2389</v>
      </c>
      <c r="AD117" s="184"/>
      <c r="AE117" s="184"/>
      <c r="AF117" s="184"/>
      <c r="AG117" s="184"/>
      <c r="AH117" s="184"/>
      <c r="AI117" s="184"/>
      <c r="AJ117" s="184"/>
      <c r="AK117" s="184"/>
      <c r="AL117" s="184"/>
      <c r="AM117" s="184"/>
      <c r="AN117" s="184"/>
      <c r="AO117" s="184"/>
      <c r="AP117" s="184"/>
      <c r="AQ117" s="184"/>
      <c r="AR117" s="184"/>
      <c r="AS117" s="184"/>
      <c r="AT117" s="184"/>
      <c r="AU117" s="188"/>
      <c r="AW117" s="129">
        <f>IFERROR(IF(AW116+1&gt;BA26,IF(AW116+1&gt;BA26,IF(AZ27+AZ116&gt;BA27,"",AZ27+AZ116)),AW116+1),"")</f>
        <v>88</v>
      </c>
      <c r="AX117" s="129" t="str">
        <f>IFERROR(INDEX(H31:AU181,AW117,AX26),"")</f>
        <v/>
      </c>
      <c r="AY117" s="129" t="str">
        <f>IFERROR(INDEX(H31:AU181,AW117,AY26),"")</f>
        <v/>
      </c>
      <c r="AZ117" s="129">
        <f>IFERROR(IF(AW116+1&gt;BA26,AZ116+1,0),"")</f>
        <v>0</v>
      </c>
    </row>
    <row r="118" spans="1:52" ht="16.5" customHeight="1" x14ac:dyDescent="0.25">
      <c r="A118" s="114" t="s">
        <v>611</v>
      </c>
      <c r="B118" s="114">
        <v>17</v>
      </c>
      <c r="C118" s="114">
        <v>18</v>
      </c>
      <c r="D118" s="114">
        <v>28</v>
      </c>
      <c r="E118" s="114">
        <f t="shared" si="8"/>
        <v>36</v>
      </c>
      <c r="G118" s="184">
        <v>88</v>
      </c>
      <c r="H118" s="205"/>
      <c r="I118" s="184"/>
      <c r="J118" s="184"/>
      <c r="K118" s="184"/>
      <c r="L118" s="193" t="s">
        <v>1127</v>
      </c>
      <c r="M118" s="194" t="s">
        <v>2390</v>
      </c>
      <c r="N118" s="184"/>
      <c r="O118" s="184"/>
      <c r="P118" s="200" t="s">
        <v>2391</v>
      </c>
      <c r="Q118" s="201" t="s">
        <v>2392</v>
      </c>
      <c r="R118" s="200" t="s">
        <v>2393</v>
      </c>
      <c r="S118" s="201" t="s">
        <v>2394</v>
      </c>
      <c r="T118" s="184"/>
      <c r="U118" s="184"/>
      <c r="V118" s="184"/>
      <c r="W118" s="184"/>
      <c r="Z118" s="184"/>
      <c r="AA118" s="184"/>
      <c r="AB118" s="193" t="s">
        <v>2395</v>
      </c>
      <c r="AC118" s="194" t="s">
        <v>2396</v>
      </c>
      <c r="AD118" s="184"/>
      <c r="AE118" s="184"/>
      <c r="AF118" s="184"/>
      <c r="AG118" s="184"/>
      <c r="AH118" s="184"/>
      <c r="AI118" s="184"/>
      <c r="AJ118" s="184"/>
      <c r="AK118" s="184"/>
      <c r="AL118" s="184"/>
      <c r="AM118" s="184"/>
      <c r="AN118" s="184"/>
      <c r="AO118" s="184"/>
      <c r="AP118" s="184"/>
      <c r="AQ118" s="184"/>
      <c r="AR118" s="184"/>
      <c r="AS118" s="184"/>
      <c r="AT118" s="184"/>
      <c r="AU118" s="188"/>
      <c r="AW118" s="129">
        <f>IFERROR(IF(AW117+1&gt;BA26,IF(AW117+1&gt;BA26,IF(AZ27+AZ117&gt;BA27,"",AZ27+AZ117)),AW117+1),"")</f>
        <v>89</v>
      </c>
      <c r="AX118" s="129" t="str">
        <f>IFERROR(INDEX(H31:AU181,AW118,AX26),"")</f>
        <v/>
      </c>
      <c r="AY118" s="129" t="str">
        <f>IFERROR(INDEX(H31:AU181,AW118,AY26),"")</f>
        <v/>
      </c>
      <c r="AZ118" s="129">
        <f>IFERROR(IF(AW117+1&gt;BA26,AZ117+1,0),"")</f>
        <v>0</v>
      </c>
    </row>
    <row r="119" spans="1:52" ht="16.5" customHeight="1" x14ac:dyDescent="0.25">
      <c r="A119" s="114" t="s">
        <v>643</v>
      </c>
      <c r="B119" s="114">
        <v>17</v>
      </c>
      <c r="C119" s="114">
        <v>18</v>
      </c>
      <c r="D119" s="114">
        <v>37</v>
      </c>
      <c r="E119" s="114">
        <f t="shared" si="8"/>
        <v>42</v>
      </c>
      <c r="G119" s="184">
        <v>89</v>
      </c>
      <c r="H119" s="205"/>
      <c r="I119" s="184"/>
      <c r="J119" s="184"/>
      <c r="K119" s="184"/>
      <c r="L119" s="193" t="s">
        <v>2397</v>
      </c>
      <c r="M119" s="194" t="s">
        <v>2398</v>
      </c>
      <c r="N119" s="184"/>
      <c r="O119" s="184"/>
      <c r="P119" s="200" t="s">
        <v>2399</v>
      </c>
      <c r="Q119" s="201" t="s">
        <v>2400</v>
      </c>
      <c r="R119" s="184"/>
      <c r="S119" s="184"/>
      <c r="T119" s="184"/>
      <c r="U119" s="184"/>
      <c r="V119" s="184"/>
      <c r="W119" s="184"/>
      <c r="Z119" s="184"/>
      <c r="AA119" s="184"/>
      <c r="AB119" s="193" t="s">
        <v>2401</v>
      </c>
      <c r="AC119" s="194" t="s">
        <v>2402</v>
      </c>
      <c r="AD119" s="184"/>
      <c r="AE119" s="184"/>
      <c r="AF119" s="184"/>
      <c r="AG119" s="184"/>
      <c r="AH119" s="184"/>
      <c r="AI119" s="184"/>
      <c r="AJ119" s="184"/>
      <c r="AK119" s="184"/>
      <c r="AL119" s="184"/>
      <c r="AM119" s="184"/>
      <c r="AN119" s="184"/>
      <c r="AO119" s="184"/>
      <c r="AP119" s="184"/>
      <c r="AQ119" s="184"/>
      <c r="AR119" s="184"/>
      <c r="AS119" s="184"/>
      <c r="AT119" s="184"/>
      <c r="AU119" s="188"/>
      <c r="AW119" s="129">
        <f>IFERROR(IF(AW118+1&gt;BA26,IF(AW118+1&gt;BA26,IF(AZ27+AZ118&gt;BA27,"",AZ27+AZ118)),AW118+1),"")</f>
        <v>90</v>
      </c>
      <c r="AX119" s="129" t="str">
        <f>IFERROR(INDEX(H31:AU181,AW119,AX26),"")</f>
        <v/>
      </c>
      <c r="AY119" s="129" t="str">
        <f>IFERROR(INDEX(H31:AU181,AW119,AY26),"")</f>
        <v/>
      </c>
      <c r="AZ119" s="129">
        <f>IFERROR(IF(AW118+1&gt;BA26,AZ118+1,0),"")</f>
        <v>0</v>
      </c>
    </row>
    <row r="120" spans="1:52" ht="16.5" customHeight="1" x14ac:dyDescent="0.25">
      <c r="A120" s="114" t="s">
        <v>644</v>
      </c>
      <c r="B120" s="114">
        <v>17</v>
      </c>
      <c r="C120" s="114">
        <v>18</v>
      </c>
      <c r="D120" s="114">
        <v>43</v>
      </c>
      <c r="E120" s="114">
        <f t="shared" si="8"/>
        <v>47</v>
      </c>
      <c r="G120" s="184">
        <v>90</v>
      </c>
      <c r="H120" s="205"/>
      <c r="I120" s="184"/>
      <c r="J120" s="184"/>
      <c r="K120" s="184"/>
      <c r="L120" s="193" t="s">
        <v>2403</v>
      </c>
      <c r="M120" s="194" t="s">
        <v>2404</v>
      </c>
      <c r="N120" s="184"/>
      <c r="O120" s="184"/>
      <c r="P120" s="200" t="s">
        <v>2405</v>
      </c>
      <c r="Q120" s="201" t="s">
        <v>2406</v>
      </c>
      <c r="R120" s="184"/>
      <c r="S120" s="184"/>
      <c r="T120" s="184"/>
      <c r="U120" s="184"/>
      <c r="V120" s="184"/>
      <c r="W120" s="184"/>
      <c r="Z120" s="184"/>
      <c r="AA120" s="184"/>
      <c r="AB120" s="193" t="s">
        <v>2407</v>
      </c>
      <c r="AC120" s="194" t="s">
        <v>2408</v>
      </c>
      <c r="AD120" s="184"/>
      <c r="AE120" s="184"/>
      <c r="AF120" s="184"/>
      <c r="AG120" s="184"/>
      <c r="AH120" s="184"/>
      <c r="AI120" s="184"/>
      <c r="AJ120" s="184"/>
      <c r="AK120" s="184"/>
      <c r="AL120" s="184"/>
      <c r="AM120" s="184"/>
      <c r="AN120" s="184"/>
      <c r="AO120" s="184"/>
      <c r="AP120" s="184"/>
      <c r="AQ120" s="184"/>
      <c r="AR120" s="184"/>
      <c r="AS120" s="184"/>
      <c r="AT120" s="184"/>
      <c r="AU120" s="188"/>
      <c r="AW120" s="129">
        <f>IFERROR(IF(AW119+1&gt;BA26,IF(AW119+1&gt;BA26,IF(AZ27+AZ119&gt;BA27,"",AZ27+AZ119)),AW119+1),"")</f>
        <v>91</v>
      </c>
      <c r="AX120" s="129" t="str">
        <f>IFERROR(INDEX(H31:AU181,AW120,AX26),"")</f>
        <v/>
      </c>
      <c r="AY120" s="129" t="str">
        <f>IFERROR(INDEX(H31:AU181,AW120,AY26),"")</f>
        <v/>
      </c>
      <c r="AZ120" s="129">
        <f>IFERROR(IF(AW119+1&gt;BA26,AZ119+1,0),"")</f>
        <v>0</v>
      </c>
    </row>
    <row r="121" spans="1:52" ht="16.5" customHeight="1" x14ac:dyDescent="0.25">
      <c r="A121" s="114" t="s">
        <v>645</v>
      </c>
      <c r="B121" s="114">
        <v>17</v>
      </c>
      <c r="C121" s="114">
        <v>18</v>
      </c>
      <c r="D121" s="114">
        <v>48</v>
      </c>
      <c r="E121" s="114">
        <f t="shared" si="8"/>
        <v>52</v>
      </c>
      <c r="G121" s="184">
        <v>91</v>
      </c>
      <c r="H121" s="205"/>
      <c r="I121" s="184"/>
      <c r="J121" s="184"/>
      <c r="K121" s="184"/>
      <c r="L121" s="193" t="s">
        <v>2409</v>
      </c>
      <c r="M121" s="194" t="s">
        <v>2410</v>
      </c>
      <c r="N121" s="184"/>
      <c r="O121" s="184"/>
      <c r="P121" s="200" t="s">
        <v>2411</v>
      </c>
      <c r="Q121" s="201" t="s">
        <v>2412</v>
      </c>
      <c r="R121" s="184"/>
      <c r="S121" s="184"/>
      <c r="T121" s="184"/>
      <c r="U121" s="184"/>
      <c r="V121" s="184"/>
      <c r="W121" s="184"/>
      <c r="Z121" s="184"/>
      <c r="AA121" s="184"/>
      <c r="AB121" s="193" t="s">
        <v>2413</v>
      </c>
      <c r="AC121" s="194" t="s">
        <v>2414</v>
      </c>
      <c r="AD121" s="184"/>
      <c r="AE121" s="184"/>
      <c r="AF121" s="184"/>
      <c r="AG121" s="184"/>
      <c r="AH121" s="184"/>
      <c r="AI121" s="184"/>
      <c r="AJ121" s="184"/>
      <c r="AK121" s="184"/>
      <c r="AL121" s="184"/>
      <c r="AM121" s="184"/>
      <c r="AN121" s="184"/>
      <c r="AO121" s="184"/>
      <c r="AP121" s="184"/>
      <c r="AQ121" s="184"/>
      <c r="AR121" s="184"/>
      <c r="AS121" s="184"/>
      <c r="AT121" s="184"/>
      <c r="AU121" s="188"/>
      <c r="AW121" s="129">
        <f>IFERROR(IF(AW120+1&gt;BA26,IF(AW120+1&gt;BA26,IF(AZ27+AZ120&gt;BA27,"",AZ27+AZ120)),AW120+1),"")</f>
        <v>92</v>
      </c>
      <c r="AX121" s="129" t="str">
        <f>IFERROR(INDEX(H31:AU181,AW121,AX26),"")</f>
        <v/>
      </c>
      <c r="AY121" s="129" t="str">
        <f>IFERROR(INDEX(H31:AU181,AW121,AY26),"")</f>
        <v/>
      </c>
      <c r="AZ121" s="129">
        <f>IFERROR(IF(AW120+1&gt;BA26,AZ120+1,0),"")</f>
        <v>0</v>
      </c>
    </row>
    <row r="122" spans="1:52" ht="16.5" customHeight="1" x14ac:dyDescent="0.25">
      <c r="A122" s="114" t="s">
        <v>646</v>
      </c>
      <c r="B122" s="114">
        <v>17</v>
      </c>
      <c r="C122" s="114">
        <v>18</v>
      </c>
      <c r="D122" s="114">
        <v>53</v>
      </c>
      <c r="E122" s="114">
        <f t="shared" si="8"/>
        <v>57</v>
      </c>
      <c r="G122" s="184">
        <v>92</v>
      </c>
      <c r="H122" s="205"/>
      <c r="I122" s="184"/>
      <c r="J122" s="184"/>
      <c r="K122" s="184"/>
      <c r="L122" s="193" t="s">
        <v>1326</v>
      </c>
      <c r="M122" s="194" t="s">
        <v>2415</v>
      </c>
      <c r="N122" s="184"/>
      <c r="O122" s="184"/>
      <c r="P122" s="200" t="s">
        <v>2416</v>
      </c>
      <c r="Q122" s="201" t="s">
        <v>2417</v>
      </c>
      <c r="R122" s="184"/>
      <c r="S122" s="184"/>
      <c r="T122" s="184"/>
      <c r="U122" s="184"/>
      <c r="V122" s="184"/>
      <c r="W122" s="184"/>
      <c r="Z122" s="184"/>
      <c r="AA122" s="184"/>
      <c r="AB122" s="200" t="s">
        <v>662</v>
      </c>
      <c r="AC122" s="201" t="s">
        <v>2418</v>
      </c>
      <c r="AD122" s="184"/>
      <c r="AE122" s="184"/>
      <c r="AF122" s="184"/>
      <c r="AG122" s="184"/>
      <c r="AH122" s="184"/>
      <c r="AI122" s="184"/>
      <c r="AJ122" s="184"/>
      <c r="AK122" s="184"/>
      <c r="AL122" s="184"/>
      <c r="AM122" s="184"/>
      <c r="AN122" s="184"/>
      <c r="AO122" s="184"/>
      <c r="AP122" s="184"/>
      <c r="AQ122" s="184"/>
      <c r="AR122" s="184"/>
      <c r="AS122" s="184"/>
      <c r="AT122" s="184"/>
      <c r="AU122" s="188"/>
      <c r="AW122" s="129">
        <f>IFERROR(IF(AW121+1&gt;BA26,IF(AW121+1&gt;BA26,IF(AZ27+AZ121&gt;BA27,"",AZ27+AZ121)),AW121+1),"")</f>
        <v>93</v>
      </c>
      <c r="AX122" s="129" t="str">
        <f>IFERROR(INDEX(H31:AU181,AW122,AX26),"")</f>
        <v/>
      </c>
      <c r="AY122" s="129" t="str">
        <f>IFERROR(INDEX(H31:AU181,AW122,AY26),"")</f>
        <v/>
      </c>
      <c r="AZ122" s="129">
        <f>IFERROR(IF(AW121+1&gt;BA26,AZ121+1,0),"")</f>
        <v>0</v>
      </c>
    </row>
    <row r="123" spans="1:52" ht="16.5" customHeight="1" x14ac:dyDescent="0.25">
      <c r="A123" s="114" t="s">
        <v>647</v>
      </c>
      <c r="B123" s="114">
        <v>17</v>
      </c>
      <c r="C123" s="114">
        <v>18</v>
      </c>
      <c r="D123" s="114">
        <v>58</v>
      </c>
      <c r="E123" s="114">
        <f t="shared" si="8"/>
        <v>62</v>
      </c>
      <c r="G123" s="184">
        <v>93</v>
      </c>
      <c r="H123" s="205"/>
      <c r="I123" s="184"/>
      <c r="J123" s="184"/>
      <c r="K123" s="184"/>
      <c r="L123" s="193" t="s">
        <v>2419</v>
      </c>
      <c r="M123" s="194" t="s">
        <v>2420</v>
      </c>
      <c r="N123" s="184"/>
      <c r="O123" s="184"/>
      <c r="P123" s="200" t="s">
        <v>2421</v>
      </c>
      <c r="Q123" s="201" t="s">
        <v>2422</v>
      </c>
      <c r="R123" s="184"/>
      <c r="S123" s="184"/>
      <c r="T123" s="184"/>
      <c r="U123" s="184"/>
      <c r="V123" s="184"/>
      <c r="W123" s="184"/>
      <c r="Z123" s="184"/>
      <c r="AA123" s="184"/>
      <c r="AB123" s="200" t="s">
        <v>2423</v>
      </c>
      <c r="AC123" s="201" t="s">
        <v>2424</v>
      </c>
      <c r="AD123" s="184"/>
      <c r="AE123" s="184"/>
      <c r="AF123" s="184"/>
      <c r="AG123" s="184"/>
      <c r="AH123" s="184"/>
      <c r="AI123" s="184"/>
      <c r="AJ123" s="184"/>
      <c r="AK123" s="184"/>
      <c r="AL123" s="184"/>
      <c r="AM123" s="184"/>
      <c r="AN123" s="184"/>
      <c r="AO123" s="184"/>
      <c r="AP123" s="184"/>
      <c r="AQ123" s="184"/>
      <c r="AR123" s="184"/>
      <c r="AS123" s="184"/>
      <c r="AT123" s="184"/>
      <c r="AU123" s="188"/>
      <c r="AW123" s="129">
        <f>IFERROR(IF(AW122+1&gt;BA26,IF(AW122+1&gt;BA26,IF(AZ27+AZ122&gt;BA27,"",AZ27+AZ122)),AW122+1),"")</f>
        <v>94</v>
      </c>
      <c r="AX123" s="129" t="str">
        <f>IFERROR(INDEX(H31:AU181,AW123,AX26),"")</f>
        <v/>
      </c>
      <c r="AY123" s="129" t="str">
        <f>IFERROR(INDEX(H31:AU181,AW123,AY26),"")</f>
        <v/>
      </c>
      <c r="AZ123" s="129">
        <f>IFERROR(IF(AW122+1&gt;BA26,AZ122+1,0),"")</f>
        <v>0</v>
      </c>
    </row>
    <row r="124" spans="1:52" ht="16.5" customHeight="1" x14ac:dyDescent="0.25">
      <c r="A124" s="114" t="s">
        <v>648</v>
      </c>
      <c r="B124" s="114">
        <v>17</v>
      </c>
      <c r="C124" s="114">
        <v>18</v>
      </c>
      <c r="D124" s="114">
        <v>63</v>
      </c>
      <c r="E124" s="114">
        <v>67</v>
      </c>
      <c r="G124" s="184">
        <v>94</v>
      </c>
      <c r="H124" s="205"/>
      <c r="I124" s="184"/>
      <c r="J124" s="184"/>
      <c r="K124" s="184"/>
      <c r="L124" s="200" t="s">
        <v>2425</v>
      </c>
      <c r="M124" s="201" t="s">
        <v>2426</v>
      </c>
      <c r="N124" s="184"/>
      <c r="O124" s="184"/>
      <c r="P124" s="193" t="s">
        <v>2064</v>
      </c>
      <c r="Q124" s="194" t="s">
        <v>2427</v>
      </c>
      <c r="R124" s="184"/>
      <c r="S124" s="184"/>
      <c r="T124" s="184"/>
      <c r="U124" s="184"/>
      <c r="V124" s="184"/>
      <c r="W124" s="184"/>
      <c r="Z124" s="184"/>
      <c r="AA124" s="184"/>
      <c r="AB124" s="200" t="s">
        <v>2428</v>
      </c>
      <c r="AC124" s="201" t="s">
        <v>2429</v>
      </c>
      <c r="AD124" s="184"/>
      <c r="AE124" s="184"/>
      <c r="AF124" s="184"/>
      <c r="AG124" s="184"/>
      <c r="AH124" s="184"/>
      <c r="AI124" s="184"/>
      <c r="AJ124" s="184"/>
      <c r="AK124" s="184"/>
      <c r="AL124" s="184"/>
      <c r="AM124" s="184"/>
      <c r="AN124" s="184"/>
      <c r="AO124" s="184"/>
      <c r="AP124" s="184"/>
      <c r="AQ124" s="184"/>
      <c r="AR124" s="184"/>
      <c r="AS124" s="184"/>
      <c r="AT124" s="184"/>
      <c r="AU124" s="188"/>
      <c r="AW124" s="129">
        <f>IFERROR(IF(AW123+1&gt;BA26,IF(AW123+1&gt;BA26,IF(AZ27+AZ123&gt;BA27,"",AZ27+AZ123)),AW123+1),"")</f>
        <v>95</v>
      </c>
      <c r="AX124" s="129" t="str">
        <f>IFERROR(INDEX(H31:AU181,AW124,AX26),"")</f>
        <v/>
      </c>
      <c r="AY124" s="129" t="str">
        <f>IFERROR(INDEX(H31:AU181,AW124,AY26),"")</f>
        <v/>
      </c>
      <c r="AZ124" s="129">
        <f>IFERROR(IF(AW123+1&gt;BA26,AZ123+1,0),"")</f>
        <v>0</v>
      </c>
    </row>
    <row r="125" spans="1:52" ht="16.5" customHeight="1" x14ac:dyDescent="0.25">
      <c r="A125" s="198" t="s">
        <v>651</v>
      </c>
      <c r="B125" s="198">
        <v>19</v>
      </c>
      <c r="C125" s="198">
        <v>20</v>
      </c>
      <c r="D125" s="198">
        <v>31</v>
      </c>
      <c r="E125" s="198">
        <f>D126-1</f>
        <v>35</v>
      </c>
      <c r="G125" s="184">
        <v>95</v>
      </c>
      <c r="H125" s="205"/>
      <c r="I125" s="184"/>
      <c r="J125" s="184"/>
      <c r="K125" s="184"/>
      <c r="L125" s="200" t="s">
        <v>2430</v>
      </c>
      <c r="M125" s="201" t="s">
        <v>2431</v>
      </c>
      <c r="N125" s="184"/>
      <c r="O125" s="184"/>
      <c r="P125" s="193" t="s">
        <v>2432</v>
      </c>
      <c r="Q125" s="194" t="s">
        <v>2433</v>
      </c>
      <c r="R125" s="184"/>
      <c r="S125" s="184"/>
      <c r="T125" s="184"/>
      <c r="U125" s="184"/>
      <c r="V125" s="184"/>
      <c r="W125" s="184"/>
      <c r="Z125" s="184"/>
      <c r="AA125" s="184"/>
      <c r="AB125" s="200" t="s">
        <v>2434</v>
      </c>
      <c r="AC125" s="201" t="s">
        <v>2435</v>
      </c>
      <c r="AD125" s="184"/>
      <c r="AE125" s="184"/>
      <c r="AF125" s="184"/>
      <c r="AG125" s="184"/>
      <c r="AH125" s="184"/>
      <c r="AI125" s="184"/>
      <c r="AJ125" s="184"/>
      <c r="AK125" s="184"/>
      <c r="AL125" s="184"/>
      <c r="AM125" s="184"/>
      <c r="AN125" s="184"/>
      <c r="AO125" s="184"/>
      <c r="AP125" s="184"/>
      <c r="AQ125" s="184"/>
      <c r="AR125" s="184"/>
      <c r="AS125" s="184"/>
      <c r="AT125" s="184"/>
      <c r="AU125" s="188"/>
      <c r="AW125" s="129">
        <f>IFERROR(IF(AW124+1&gt;BA26,IF(AW124+1&gt;BA26,IF(AZ27+AZ124&gt;BA27,"",AZ27+AZ124)),AW124+1),"")</f>
        <v>96</v>
      </c>
      <c r="AX125" s="129" t="str">
        <f>IFERROR(INDEX(H31:AU181,AW125,AX26),"")</f>
        <v/>
      </c>
      <c r="AY125" s="129" t="str">
        <f>IFERROR(INDEX(H31:AU181,AW125,AY26),"")</f>
        <v/>
      </c>
      <c r="AZ125" s="129">
        <f>IFERROR(IF(AW124+1&gt;BA26,AZ124+1,0),"")</f>
        <v>0</v>
      </c>
    </row>
    <row r="126" spans="1:52" ht="16.5" customHeight="1" x14ac:dyDescent="0.25">
      <c r="A126" s="114" t="s">
        <v>652</v>
      </c>
      <c r="B126" s="114">
        <v>19</v>
      </c>
      <c r="C126" s="114">
        <v>20</v>
      </c>
      <c r="D126" s="114">
        <v>36</v>
      </c>
      <c r="E126" s="114">
        <f t="shared" ref="E126:E130" si="9">D127-1</f>
        <v>40</v>
      </c>
      <c r="G126" s="184">
        <v>96</v>
      </c>
      <c r="H126" s="205"/>
      <c r="I126" s="184"/>
      <c r="J126" s="184"/>
      <c r="K126" s="184"/>
      <c r="L126" s="200" t="s">
        <v>2436</v>
      </c>
      <c r="M126" s="201" t="s">
        <v>2437</v>
      </c>
      <c r="N126" s="184"/>
      <c r="O126" s="184"/>
      <c r="P126" s="193" t="s">
        <v>2438</v>
      </c>
      <c r="Q126" s="194" t="s">
        <v>2439</v>
      </c>
      <c r="R126" s="184"/>
      <c r="S126" s="184"/>
      <c r="T126" s="184"/>
      <c r="U126" s="184"/>
      <c r="V126" s="184"/>
      <c r="W126" s="184"/>
      <c r="Z126" s="184"/>
      <c r="AA126" s="184"/>
      <c r="AB126" s="200" t="s">
        <v>2440</v>
      </c>
      <c r="AC126" s="201" t="s">
        <v>2441</v>
      </c>
      <c r="AD126" s="184"/>
      <c r="AE126" s="184"/>
      <c r="AF126" s="184"/>
      <c r="AG126" s="184"/>
      <c r="AH126" s="184"/>
      <c r="AI126" s="184"/>
      <c r="AJ126" s="184"/>
      <c r="AK126" s="184"/>
      <c r="AL126" s="184"/>
      <c r="AM126" s="184"/>
      <c r="AN126" s="184"/>
      <c r="AO126" s="184"/>
      <c r="AP126" s="184"/>
      <c r="AQ126" s="184"/>
      <c r="AR126" s="184"/>
      <c r="AS126" s="184"/>
      <c r="AT126" s="184"/>
      <c r="AU126" s="188"/>
      <c r="AW126" s="129">
        <f>IFERROR(IF(AW125+1&gt;BA26,IF(AW125+1&gt;BA26,IF(AZ27+AZ125&gt;BA27,"",AZ27+AZ125)),AW125+1),"")</f>
        <v>97</v>
      </c>
      <c r="AX126" s="129" t="str">
        <f>IFERROR(INDEX(H31:AU181,AW126,AX26),"")</f>
        <v/>
      </c>
      <c r="AY126" s="129" t="str">
        <f>IFERROR(INDEX(H31:AU181,AW126,AY26),"")</f>
        <v/>
      </c>
      <c r="AZ126" s="129">
        <f>IFERROR(IF(AW125+1&gt;BA26,AZ125+1,0),"")</f>
        <v>0</v>
      </c>
    </row>
    <row r="127" spans="1:52" ht="16.5" customHeight="1" x14ac:dyDescent="0.25">
      <c r="A127" s="114" t="s">
        <v>653</v>
      </c>
      <c r="B127" s="114">
        <v>19</v>
      </c>
      <c r="C127" s="114">
        <v>20</v>
      </c>
      <c r="D127" s="114">
        <v>41</v>
      </c>
      <c r="E127" s="114">
        <f t="shared" si="9"/>
        <v>45</v>
      </c>
      <c r="G127" s="184">
        <v>97</v>
      </c>
      <c r="H127" s="205"/>
      <c r="I127" s="184"/>
      <c r="J127" s="184"/>
      <c r="K127" s="184"/>
      <c r="L127" s="200" t="s">
        <v>2442</v>
      </c>
      <c r="M127" s="201" t="s">
        <v>2443</v>
      </c>
      <c r="N127" s="184"/>
      <c r="O127" s="184"/>
      <c r="P127" s="193" t="s">
        <v>2444</v>
      </c>
      <c r="Q127" s="194" t="s">
        <v>2445</v>
      </c>
      <c r="R127" s="184"/>
      <c r="S127" s="184"/>
      <c r="T127" s="184"/>
      <c r="U127" s="184"/>
      <c r="V127" s="184"/>
      <c r="W127" s="184"/>
      <c r="Z127" s="184"/>
      <c r="AA127" s="184"/>
      <c r="AB127" s="200" t="s">
        <v>2446</v>
      </c>
      <c r="AC127" s="201" t="s">
        <v>2447</v>
      </c>
      <c r="AD127" s="184"/>
      <c r="AE127" s="184"/>
      <c r="AF127" s="184"/>
      <c r="AG127" s="184"/>
      <c r="AH127" s="184"/>
      <c r="AI127" s="184"/>
      <c r="AJ127" s="184"/>
      <c r="AK127" s="184"/>
      <c r="AL127" s="184"/>
      <c r="AM127" s="184"/>
      <c r="AN127" s="184"/>
      <c r="AO127" s="184"/>
      <c r="AP127" s="184"/>
      <c r="AQ127" s="184"/>
      <c r="AR127" s="184"/>
      <c r="AS127" s="184"/>
      <c r="AT127" s="184"/>
      <c r="AU127" s="188"/>
      <c r="AW127" s="129">
        <f>IFERROR(IF(AW126+1&gt;BA26,IF(AW126+1&gt;BA26,IF(AZ27+AZ126&gt;BA27,"",AZ27+AZ126)),AW126+1),"")</f>
        <v>98</v>
      </c>
      <c r="AX127" s="129" t="str">
        <f>IFERROR(INDEX(H31:AU181,AW127,AX26),"")</f>
        <v/>
      </c>
      <c r="AY127" s="129" t="str">
        <f>IFERROR(INDEX(H31:AU181,AW127,AY26),"")</f>
        <v/>
      </c>
      <c r="AZ127" s="129">
        <f>IFERROR(IF(AW126+1&gt;BA26,AZ126+1,0),"")</f>
        <v>0</v>
      </c>
    </row>
    <row r="128" spans="1:52" ht="16.5" customHeight="1" x14ac:dyDescent="0.25">
      <c r="A128" s="114" t="s">
        <v>654</v>
      </c>
      <c r="B128" s="114">
        <v>19</v>
      </c>
      <c r="C128" s="114">
        <v>20</v>
      </c>
      <c r="D128" s="114">
        <v>46</v>
      </c>
      <c r="E128" s="114">
        <f t="shared" si="9"/>
        <v>50</v>
      </c>
      <c r="G128" s="184">
        <v>98</v>
      </c>
      <c r="H128" s="205"/>
      <c r="I128" s="184"/>
      <c r="J128" s="184"/>
      <c r="K128" s="184"/>
      <c r="L128" s="200" t="s">
        <v>2448</v>
      </c>
      <c r="M128" s="201" t="s">
        <v>2449</v>
      </c>
      <c r="N128" s="184"/>
      <c r="O128" s="184"/>
      <c r="P128" s="193" t="s">
        <v>2450</v>
      </c>
      <c r="Q128" s="194" t="s">
        <v>2451</v>
      </c>
      <c r="R128" s="184"/>
      <c r="S128" s="184"/>
      <c r="T128" s="184"/>
      <c r="U128" s="184"/>
      <c r="V128" s="184"/>
      <c r="W128" s="184"/>
      <c r="Z128" s="184"/>
      <c r="AA128" s="184"/>
      <c r="AB128" s="200" t="s">
        <v>2452</v>
      </c>
      <c r="AC128" s="201" t="s">
        <v>2453</v>
      </c>
      <c r="AD128" s="184"/>
      <c r="AE128" s="184"/>
      <c r="AF128" s="184"/>
      <c r="AG128" s="184"/>
      <c r="AH128" s="184"/>
      <c r="AI128" s="184"/>
      <c r="AJ128" s="184"/>
      <c r="AK128" s="184"/>
      <c r="AL128" s="184"/>
      <c r="AM128" s="184"/>
      <c r="AN128" s="184"/>
      <c r="AO128" s="184"/>
      <c r="AP128" s="184"/>
      <c r="AQ128" s="184"/>
      <c r="AR128" s="184"/>
      <c r="AS128" s="184"/>
      <c r="AT128" s="184"/>
      <c r="AU128" s="188"/>
      <c r="AW128" s="129">
        <f>IFERROR(IF(AW127+1&gt;BA26,IF(AW127+1&gt;BA26,IF(AZ27+AZ127&gt;BA27,"",AZ27+AZ127)),AW127+1),"")</f>
        <v>99</v>
      </c>
      <c r="AX128" s="129" t="str">
        <f>IFERROR(INDEX(H31:AU181,AW128,AX26),"")</f>
        <v/>
      </c>
      <c r="AY128" s="129" t="str">
        <f>IFERROR(INDEX(H31:AU181,AW128,AY26),"")</f>
        <v/>
      </c>
      <c r="AZ128" s="129">
        <f>IFERROR(IF(AW127+1&gt;BA26,AZ127+1,0),"")</f>
        <v>0</v>
      </c>
    </row>
    <row r="129" spans="1:52" ht="16.5" customHeight="1" x14ac:dyDescent="0.25">
      <c r="A129" s="114" t="s">
        <v>655</v>
      </c>
      <c r="B129" s="114">
        <v>19</v>
      </c>
      <c r="C129" s="114">
        <v>20</v>
      </c>
      <c r="D129" s="114">
        <v>51</v>
      </c>
      <c r="E129" s="114">
        <f t="shared" si="9"/>
        <v>56</v>
      </c>
      <c r="G129" s="184">
        <v>99</v>
      </c>
      <c r="H129" s="205"/>
      <c r="I129" s="184"/>
      <c r="J129" s="184"/>
      <c r="K129" s="184"/>
      <c r="L129" s="200" t="s">
        <v>1153</v>
      </c>
      <c r="M129" s="201" t="s">
        <v>2454</v>
      </c>
      <c r="N129" s="184"/>
      <c r="O129" s="184"/>
      <c r="P129" s="193" t="s">
        <v>2455</v>
      </c>
      <c r="Q129" s="194" t="s">
        <v>2456</v>
      </c>
      <c r="R129" s="184"/>
      <c r="S129" s="184"/>
      <c r="T129" s="184"/>
      <c r="U129" s="184"/>
      <c r="V129" s="184"/>
      <c r="W129" s="184"/>
      <c r="Z129" s="184"/>
      <c r="AA129" s="184"/>
      <c r="AB129" s="193" t="s">
        <v>663</v>
      </c>
      <c r="AC129" s="194" t="s">
        <v>2457</v>
      </c>
      <c r="AD129" s="184"/>
      <c r="AE129" s="184"/>
      <c r="AF129" s="184"/>
      <c r="AG129" s="184"/>
      <c r="AH129" s="184"/>
      <c r="AI129" s="184"/>
      <c r="AJ129" s="184"/>
      <c r="AK129" s="184"/>
      <c r="AL129" s="184"/>
      <c r="AM129" s="184"/>
      <c r="AN129" s="184"/>
      <c r="AO129" s="184"/>
      <c r="AP129" s="184"/>
      <c r="AQ129" s="184"/>
      <c r="AR129" s="184"/>
      <c r="AS129" s="184"/>
      <c r="AT129" s="184"/>
      <c r="AU129" s="188"/>
      <c r="AW129" s="129">
        <f>IFERROR(IF(AW128+1&gt;BA26,IF(AW128+1&gt;BA26,IF(AZ27+AZ128&gt;BA27,"",AZ27+AZ128)),AW128+1),"")</f>
        <v>100</v>
      </c>
      <c r="AX129" s="129" t="str">
        <f>IFERROR(INDEX(H31:AU181,AW129,AX26),"")</f>
        <v/>
      </c>
      <c r="AY129" s="129" t="str">
        <f>IFERROR(INDEX(H31:AU181,AW129,AY26),"")</f>
        <v/>
      </c>
      <c r="AZ129" s="129">
        <f>IFERROR(IF(AW128+1&gt;BA26,AZ128+1,0),"")</f>
        <v>0</v>
      </c>
    </row>
    <row r="130" spans="1:52" ht="16.5" customHeight="1" x14ac:dyDescent="0.25">
      <c r="A130" s="114" t="s">
        <v>656</v>
      </c>
      <c r="B130" s="114">
        <v>19</v>
      </c>
      <c r="C130" s="114">
        <v>20</v>
      </c>
      <c r="D130" s="114">
        <v>57</v>
      </c>
      <c r="E130" s="114">
        <f t="shared" si="9"/>
        <v>62</v>
      </c>
      <c r="G130" s="184">
        <v>100</v>
      </c>
      <c r="H130" s="205"/>
      <c r="I130" s="184"/>
      <c r="J130" s="184"/>
      <c r="K130" s="184"/>
      <c r="L130" s="200" t="s">
        <v>2458</v>
      </c>
      <c r="M130" s="201" t="s">
        <v>2459</v>
      </c>
      <c r="N130" s="184"/>
      <c r="O130" s="184"/>
      <c r="P130" s="193" t="s">
        <v>2460</v>
      </c>
      <c r="Q130" s="194" t="s">
        <v>2461</v>
      </c>
      <c r="R130" s="184"/>
      <c r="S130" s="184"/>
      <c r="T130" s="184"/>
      <c r="U130" s="184"/>
      <c r="V130" s="184"/>
      <c r="W130" s="184"/>
      <c r="Z130" s="184"/>
      <c r="AA130" s="184"/>
      <c r="AB130" s="193" t="s">
        <v>2462</v>
      </c>
      <c r="AC130" s="194" t="s">
        <v>2463</v>
      </c>
      <c r="AD130" s="184"/>
      <c r="AE130" s="184"/>
      <c r="AF130" s="184"/>
      <c r="AG130" s="184"/>
      <c r="AH130" s="184"/>
      <c r="AI130" s="184"/>
      <c r="AJ130" s="184"/>
      <c r="AK130" s="184"/>
      <c r="AL130" s="184"/>
      <c r="AM130" s="184"/>
      <c r="AN130" s="184"/>
      <c r="AO130" s="184"/>
      <c r="AP130" s="184"/>
      <c r="AQ130" s="184"/>
      <c r="AR130" s="184"/>
      <c r="AS130" s="184"/>
      <c r="AT130" s="184"/>
      <c r="AU130" s="188"/>
    </row>
    <row r="131" spans="1:52" ht="16.5" customHeight="1" x14ac:dyDescent="0.25">
      <c r="A131" s="114" t="s">
        <v>657</v>
      </c>
      <c r="B131" s="114">
        <v>19</v>
      </c>
      <c r="C131" s="114">
        <v>20</v>
      </c>
      <c r="D131" s="114">
        <v>63</v>
      </c>
      <c r="E131" s="114">
        <v>66</v>
      </c>
      <c r="G131" s="184">
        <v>101</v>
      </c>
      <c r="H131" s="205"/>
      <c r="I131" s="184"/>
      <c r="J131" s="184"/>
      <c r="K131" s="184"/>
      <c r="L131" s="193" t="s">
        <v>2464</v>
      </c>
      <c r="M131" s="194" t="s">
        <v>2465</v>
      </c>
      <c r="N131" s="184"/>
      <c r="O131" s="184"/>
      <c r="P131" s="193" t="s">
        <v>2466</v>
      </c>
      <c r="Q131" s="194" t="s">
        <v>2467</v>
      </c>
      <c r="R131" s="184"/>
      <c r="S131" s="184"/>
      <c r="T131" s="184"/>
      <c r="U131" s="184"/>
      <c r="V131" s="184"/>
      <c r="W131" s="184"/>
      <c r="Z131" s="184"/>
      <c r="AA131" s="184"/>
      <c r="AB131" s="193" t="s">
        <v>2468</v>
      </c>
      <c r="AC131" s="194" t="s">
        <v>2469</v>
      </c>
      <c r="AD131" s="184"/>
      <c r="AE131" s="184"/>
      <c r="AF131" s="184"/>
      <c r="AG131" s="184"/>
      <c r="AH131" s="184"/>
      <c r="AI131" s="184"/>
      <c r="AJ131" s="184"/>
      <c r="AK131" s="184"/>
      <c r="AL131" s="184"/>
      <c r="AM131" s="184"/>
      <c r="AN131" s="184"/>
      <c r="AO131" s="184"/>
      <c r="AP131" s="184"/>
      <c r="AQ131" s="184"/>
      <c r="AR131" s="184"/>
      <c r="AS131" s="184"/>
      <c r="AT131" s="184"/>
      <c r="AU131" s="188"/>
    </row>
    <row r="132" spans="1:52" ht="16.5" customHeight="1" x14ac:dyDescent="0.25">
      <c r="A132" s="114" t="s">
        <v>658</v>
      </c>
      <c r="B132" s="114">
        <v>19</v>
      </c>
      <c r="C132" s="114">
        <v>20</v>
      </c>
      <c r="D132" s="114">
        <v>68</v>
      </c>
      <c r="E132" s="114">
        <v>73</v>
      </c>
      <c r="G132" s="184">
        <v>102</v>
      </c>
      <c r="H132" s="205"/>
      <c r="I132" s="184"/>
      <c r="J132" s="184"/>
      <c r="K132" s="184"/>
      <c r="L132" s="193" t="s">
        <v>1127</v>
      </c>
      <c r="M132" s="194" t="s">
        <v>2470</v>
      </c>
      <c r="N132" s="184"/>
      <c r="O132" s="184"/>
      <c r="P132" s="193" t="s">
        <v>1975</v>
      </c>
      <c r="Q132" s="194" t="s">
        <v>2471</v>
      </c>
      <c r="R132" s="184"/>
      <c r="S132" s="184"/>
      <c r="T132" s="184"/>
      <c r="U132" s="184"/>
      <c r="V132" s="184"/>
      <c r="W132" s="184"/>
      <c r="Z132" s="184"/>
      <c r="AA132" s="184"/>
      <c r="AB132" s="193" t="s">
        <v>2472</v>
      </c>
      <c r="AC132" s="194" t="s">
        <v>2473</v>
      </c>
      <c r="AD132" s="184"/>
      <c r="AE132" s="184"/>
      <c r="AF132" s="184"/>
      <c r="AG132" s="184"/>
      <c r="AH132" s="184"/>
      <c r="AI132" s="184"/>
      <c r="AJ132" s="184"/>
      <c r="AK132" s="184"/>
      <c r="AL132" s="184"/>
      <c r="AM132" s="184"/>
      <c r="AN132" s="184"/>
      <c r="AO132" s="184"/>
      <c r="AP132" s="184"/>
      <c r="AQ132" s="184"/>
      <c r="AR132" s="184"/>
      <c r="AS132" s="184"/>
      <c r="AT132" s="184"/>
      <c r="AU132" s="188"/>
    </row>
    <row r="133" spans="1:52" ht="16.5" customHeight="1" x14ac:dyDescent="0.25">
      <c r="A133" s="198" t="s">
        <v>659</v>
      </c>
      <c r="B133" s="198">
        <v>21</v>
      </c>
      <c r="C133" s="198">
        <v>22</v>
      </c>
      <c r="D133" s="198">
        <v>74</v>
      </c>
      <c r="E133" s="198">
        <f>D134-1</f>
        <v>79</v>
      </c>
      <c r="G133" s="184">
        <v>103</v>
      </c>
      <c r="H133" s="205"/>
      <c r="I133" s="184"/>
      <c r="J133" s="184"/>
      <c r="K133" s="184"/>
      <c r="L133" s="193" t="s">
        <v>2474</v>
      </c>
      <c r="M133" s="194" t="s">
        <v>2475</v>
      </c>
      <c r="N133" s="184"/>
      <c r="O133" s="184"/>
      <c r="P133" s="193" t="s">
        <v>2476</v>
      </c>
      <c r="Q133" s="194" t="s">
        <v>2477</v>
      </c>
      <c r="R133" s="184"/>
      <c r="S133" s="184"/>
      <c r="T133" s="184"/>
      <c r="U133" s="184"/>
      <c r="V133" s="184"/>
      <c r="W133" s="184"/>
      <c r="Z133" s="184"/>
      <c r="AA133" s="184"/>
      <c r="AB133" s="193" t="s">
        <v>2478</v>
      </c>
      <c r="AC133" s="194" t="s">
        <v>2479</v>
      </c>
      <c r="AD133" s="184"/>
      <c r="AE133" s="184"/>
      <c r="AF133" s="184"/>
      <c r="AG133" s="184"/>
      <c r="AH133" s="184"/>
      <c r="AI133" s="184"/>
      <c r="AJ133" s="184"/>
      <c r="AK133" s="184"/>
      <c r="AL133" s="184"/>
      <c r="AM133" s="184"/>
      <c r="AN133" s="184"/>
      <c r="AO133" s="184"/>
      <c r="AP133" s="184"/>
      <c r="AQ133" s="184"/>
      <c r="AR133" s="184"/>
      <c r="AS133" s="184"/>
      <c r="AT133" s="184"/>
      <c r="AU133" s="188"/>
    </row>
    <row r="134" spans="1:52" ht="16.5" customHeight="1" x14ac:dyDescent="0.25">
      <c r="A134" s="114" t="s">
        <v>660</v>
      </c>
      <c r="B134" s="114">
        <v>21</v>
      </c>
      <c r="C134" s="114">
        <v>22</v>
      </c>
      <c r="D134" s="114">
        <v>80</v>
      </c>
      <c r="E134" s="114">
        <f t="shared" ref="E134:E139" si="10">D135-1</f>
        <v>85</v>
      </c>
      <c r="G134" s="184">
        <v>104</v>
      </c>
      <c r="H134" s="205"/>
      <c r="I134" s="184"/>
      <c r="J134" s="184"/>
      <c r="K134" s="184"/>
      <c r="L134" s="193" t="s">
        <v>2480</v>
      </c>
      <c r="M134" s="194" t="s">
        <v>2481</v>
      </c>
      <c r="N134" s="184"/>
      <c r="O134" s="184"/>
      <c r="P134" s="193" t="s">
        <v>2482</v>
      </c>
      <c r="Q134" s="194" t="s">
        <v>2483</v>
      </c>
      <c r="R134" s="184"/>
      <c r="S134" s="184"/>
      <c r="T134" s="184"/>
      <c r="U134" s="184"/>
      <c r="V134" s="184"/>
      <c r="W134" s="184"/>
      <c r="Z134" s="184"/>
      <c r="AA134" s="184"/>
      <c r="AB134" s="193" t="s">
        <v>2484</v>
      </c>
      <c r="AC134" s="194" t="s">
        <v>2485</v>
      </c>
      <c r="AD134" s="184"/>
      <c r="AE134" s="184"/>
      <c r="AF134" s="184"/>
      <c r="AG134" s="184"/>
      <c r="AH134" s="184"/>
      <c r="AI134" s="184"/>
      <c r="AJ134" s="184"/>
      <c r="AK134" s="184"/>
      <c r="AL134" s="184"/>
      <c r="AM134" s="184"/>
      <c r="AN134" s="184"/>
      <c r="AO134" s="184"/>
      <c r="AP134" s="184"/>
      <c r="AQ134" s="184"/>
      <c r="AR134" s="184"/>
      <c r="AS134" s="184"/>
      <c r="AT134" s="184"/>
      <c r="AU134" s="188"/>
    </row>
    <row r="135" spans="1:52" ht="16.5" customHeight="1" x14ac:dyDescent="0.25">
      <c r="A135" s="114" t="s">
        <v>661</v>
      </c>
      <c r="B135" s="114">
        <v>21</v>
      </c>
      <c r="C135" s="114">
        <v>22</v>
      </c>
      <c r="D135" s="114">
        <v>86</v>
      </c>
      <c r="E135" s="114">
        <f t="shared" si="10"/>
        <v>91</v>
      </c>
      <c r="G135" s="184">
        <v>105</v>
      </c>
      <c r="H135" s="205"/>
      <c r="I135" s="184"/>
      <c r="J135" s="184"/>
      <c r="K135" s="184"/>
      <c r="L135" s="193" t="s">
        <v>2486</v>
      </c>
      <c r="M135" s="194" t="s">
        <v>2487</v>
      </c>
      <c r="N135" s="184"/>
      <c r="O135" s="184"/>
      <c r="P135" s="193" t="s">
        <v>2488</v>
      </c>
      <c r="Q135" s="194" t="s">
        <v>2489</v>
      </c>
      <c r="R135" s="184"/>
      <c r="S135" s="184"/>
      <c r="T135" s="184"/>
      <c r="U135" s="184"/>
      <c r="V135" s="184"/>
      <c r="W135" s="184"/>
      <c r="X135" s="184"/>
      <c r="Y135" s="184"/>
      <c r="Z135" s="184"/>
      <c r="AA135" s="184"/>
      <c r="AB135" s="193" t="s">
        <v>2490</v>
      </c>
      <c r="AC135" s="194" t="s">
        <v>2491</v>
      </c>
      <c r="AD135" s="184"/>
      <c r="AE135" s="184"/>
      <c r="AF135" s="184"/>
      <c r="AG135" s="184"/>
      <c r="AH135" s="184"/>
      <c r="AI135" s="184"/>
      <c r="AJ135" s="184"/>
      <c r="AK135" s="184"/>
      <c r="AL135" s="184"/>
      <c r="AM135" s="184"/>
      <c r="AN135" s="184"/>
      <c r="AO135" s="184"/>
      <c r="AP135" s="184"/>
      <c r="AQ135" s="184"/>
      <c r="AR135" s="184"/>
      <c r="AS135" s="184"/>
      <c r="AT135" s="184"/>
      <c r="AU135" s="188"/>
    </row>
    <row r="136" spans="1:52" ht="16.5" customHeight="1" x14ac:dyDescent="0.25">
      <c r="A136" s="114" t="s">
        <v>662</v>
      </c>
      <c r="B136" s="114">
        <v>21</v>
      </c>
      <c r="C136" s="114">
        <v>22</v>
      </c>
      <c r="D136" s="114">
        <v>92</v>
      </c>
      <c r="E136" s="114">
        <f t="shared" si="10"/>
        <v>98</v>
      </c>
      <c r="G136" s="184">
        <v>106</v>
      </c>
      <c r="H136" s="205"/>
      <c r="I136" s="184"/>
      <c r="J136" s="184"/>
      <c r="K136" s="184"/>
      <c r="L136" s="193" t="s">
        <v>2492</v>
      </c>
      <c r="M136" s="194" t="s">
        <v>2493</v>
      </c>
      <c r="N136" s="184"/>
      <c r="O136" s="184"/>
      <c r="P136" s="193" t="s">
        <v>2494</v>
      </c>
      <c r="Q136" s="194" t="s">
        <v>2495</v>
      </c>
      <c r="R136" s="184"/>
      <c r="S136" s="184"/>
      <c r="T136" s="184"/>
      <c r="U136" s="184"/>
      <c r="V136" s="184"/>
      <c r="W136" s="184"/>
      <c r="X136" s="184"/>
      <c r="Y136" s="184"/>
      <c r="Z136" s="184"/>
      <c r="AA136" s="184"/>
      <c r="AB136" s="200" t="s">
        <v>664</v>
      </c>
      <c r="AC136" s="201" t="s">
        <v>2496</v>
      </c>
      <c r="AD136" s="184"/>
      <c r="AE136" s="184"/>
      <c r="AF136" s="184"/>
      <c r="AG136" s="184"/>
      <c r="AH136" s="184"/>
      <c r="AI136" s="184"/>
      <c r="AJ136" s="184"/>
      <c r="AK136" s="184"/>
      <c r="AL136" s="184"/>
      <c r="AM136" s="184"/>
      <c r="AN136" s="184"/>
      <c r="AO136" s="184"/>
      <c r="AP136" s="184"/>
      <c r="AQ136" s="184"/>
      <c r="AR136" s="184"/>
      <c r="AS136" s="184"/>
      <c r="AT136" s="184"/>
      <c r="AU136" s="188"/>
    </row>
    <row r="137" spans="1:52" ht="16.5" customHeight="1" x14ac:dyDescent="0.25">
      <c r="A137" s="114" t="s">
        <v>663</v>
      </c>
      <c r="B137" s="114">
        <v>21</v>
      </c>
      <c r="C137" s="114">
        <v>22</v>
      </c>
      <c r="D137" s="114">
        <v>99</v>
      </c>
      <c r="E137" s="114">
        <f t="shared" si="10"/>
        <v>105</v>
      </c>
      <c r="G137" s="184">
        <v>107</v>
      </c>
      <c r="H137" s="205"/>
      <c r="I137" s="184"/>
      <c r="J137" s="184"/>
      <c r="K137" s="184"/>
      <c r="L137" s="193" t="s">
        <v>1326</v>
      </c>
      <c r="M137" s="194" t="s">
        <v>2497</v>
      </c>
      <c r="N137" s="184"/>
      <c r="O137" s="184"/>
      <c r="P137" s="200" t="s">
        <v>2498</v>
      </c>
      <c r="Q137" s="201" t="s">
        <v>2499</v>
      </c>
      <c r="R137" s="184"/>
      <c r="S137" s="184"/>
      <c r="T137" s="184"/>
      <c r="U137" s="184"/>
      <c r="V137" s="184"/>
      <c r="W137" s="184"/>
      <c r="X137" s="184"/>
      <c r="Y137" s="184"/>
      <c r="Z137" s="184"/>
      <c r="AA137" s="184"/>
      <c r="AB137" s="200" t="s">
        <v>2500</v>
      </c>
      <c r="AC137" s="201" t="s">
        <v>2501</v>
      </c>
      <c r="AD137" s="184"/>
      <c r="AE137" s="184"/>
      <c r="AF137" s="184"/>
      <c r="AG137" s="184"/>
      <c r="AH137" s="184"/>
      <c r="AI137" s="184"/>
      <c r="AJ137" s="184"/>
      <c r="AK137" s="184"/>
      <c r="AL137" s="184"/>
      <c r="AM137" s="184"/>
      <c r="AN137" s="184"/>
      <c r="AO137" s="184"/>
      <c r="AP137" s="184"/>
      <c r="AQ137" s="184"/>
      <c r="AR137" s="184"/>
      <c r="AS137" s="184"/>
      <c r="AT137" s="184"/>
      <c r="AU137" s="188"/>
    </row>
    <row r="138" spans="1:52" ht="16.5" customHeight="1" x14ac:dyDescent="0.25">
      <c r="A138" s="114" t="s">
        <v>664</v>
      </c>
      <c r="B138" s="114">
        <v>21</v>
      </c>
      <c r="C138" s="114">
        <v>22</v>
      </c>
      <c r="D138" s="114">
        <v>106</v>
      </c>
      <c r="E138" s="114">
        <f t="shared" si="10"/>
        <v>111</v>
      </c>
      <c r="G138" s="184">
        <v>108</v>
      </c>
      <c r="H138" s="205"/>
      <c r="I138" s="184"/>
      <c r="J138" s="184"/>
      <c r="K138" s="184"/>
      <c r="L138" s="193" t="s">
        <v>2502</v>
      </c>
      <c r="M138" s="194" t="s">
        <v>2503</v>
      </c>
      <c r="N138" s="184"/>
      <c r="O138" s="184"/>
      <c r="P138" s="200" t="s">
        <v>2504</v>
      </c>
      <c r="Q138" s="201" t="s">
        <v>2505</v>
      </c>
      <c r="R138" s="184"/>
      <c r="S138" s="184"/>
      <c r="T138" s="184"/>
      <c r="U138" s="184"/>
      <c r="V138" s="184"/>
      <c r="W138" s="184"/>
      <c r="X138" s="184"/>
      <c r="Y138" s="184"/>
      <c r="Z138" s="184"/>
      <c r="AA138" s="184"/>
      <c r="AB138" s="200" t="s">
        <v>2506</v>
      </c>
      <c r="AC138" s="201" t="s">
        <v>2507</v>
      </c>
      <c r="AD138" s="184"/>
      <c r="AE138" s="184"/>
      <c r="AF138" s="184"/>
      <c r="AG138" s="184"/>
      <c r="AH138" s="184"/>
      <c r="AI138" s="184"/>
      <c r="AJ138" s="184"/>
      <c r="AK138" s="184"/>
      <c r="AL138" s="184"/>
      <c r="AM138" s="184"/>
      <c r="AN138" s="184"/>
      <c r="AO138" s="184"/>
      <c r="AP138" s="184"/>
      <c r="AQ138" s="184"/>
      <c r="AR138" s="184"/>
      <c r="AS138" s="184"/>
      <c r="AT138" s="184"/>
      <c r="AU138" s="188"/>
    </row>
    <row r="139" spans="1:52" ht="16.5" customHeight="1" x14ac:dyDescent="0.25">
      <c r="A139" s="114" t="s">
        <v>665</v>
      </c>
      <c r="B139" s="114">
        <v>21</v>
      </c>
      <c r="C139" s="114">
        <v>22</v>
      </c>
      <c r="D139" s="114">
        <v>112</v>
      </c>
      <c r="E139" s="114">
        <f t="shared" si="10"/>
        <v>119</v>
      </c>
      <c r="G139" s="184">
        <v>109</v>
      </c>
      <c r="H139" s="205"/>
      <c r="I139" s="184"/>
      <c r="J139" s="184"/>
      <c r="K139" s="184"/>
      <c r="L139" s="184"/>
      <c r="M139" s="184"/>
      <c r="N139" s="184"/>
      <c r="O139" s="184"/>
      <c r="P139" s="200" t="s">
        <v>2508</v>
      </c>
      <c r="Q139" s="201" t="s">
        <v>2509</v>
      </c>
      <c r="R139" s="184"/>
      <c r="S139" s="184"/>
      <c r="T139" s="184"/>
      <c r="U139" s="184"/>
      <c r="V139" s="184"/>
      <c r="W139" s="184"/>
      <c r="X139" s="184"/>
      <c r="Y139" s="184"/>
      <c r="Z139" s="184"/>
      <c r="AA139" s="184"/>
      <c r="AB139" s="200" t="s">
        <v>2510</v>
      </c>
      <c r="AC139" s="201" t="s">
        <v>2511</v>
      </c>
      <c r="AD139" s="184"/>
      <c r="AE139" s="184"/>
      <c r="AF139" s="184"/>
      <c r="AG139" s="184"/>
      <c r="AH139" s="184"/>
      <c r="AI139" s="184"/>
      <c r="AJ139" s="184"/>
      <c r="AK139" s="184"/>
      <c r="AL139" s="184"/>
      <c r="AM139" s="184"/>
      <c r="AN139" s="184"/>
      <c r="AO139" s="184"/>
      <c r="AP139" s="184"/>
      <c r="AQ139" s="184"/>
      <c r="AR139" s="184"/>
      <c r="AS139" s="184"/>
      <c r="AT139" s="184"/>
      <c r="AU139" s="188"/>
    </row>
    <row r="140" spans="1:52" ht="16.5" customHeight="1" x14ac:dyDescent="0.25">
      <c r="A140" s="114" t="s">
        <v>666</v>
      </c>
      <c r="B140" s="114">
        <v>21</v>
      </c>
      <c r="C140" s="114">
        <v>22</v>
      </c>
      <c r="D140" s="114">
        <v>120</v>
      </c>
      <c r="E140" s="114">
        <v>126</v>
      </c>
      <c r="G140" s="184">
        <v>110</v>
      </c>
      <c r="H140" s="205"/>
      <c r="I140" s="184"/>
      <c r="J140" s="184"/>
      <c r="K140" s="184"/>
      <c r="L140" s="184"/>
      <c r="M140" s="184"/>
      <c r="N140" s="184"/>
      <c r="O140" s="184"/>
      <c r="P140" s="200" t="s">
        <v>2512</v>
      </c>
      <c r="Q140" s="201" t="s">
        <v>2513</v>
      </c>
      <c r="R140" s="184"/>
      <c r="S140" s="184"/>
      <c r="T140" s="184"/>
      <c r="U140" s="184"/>
      <c r="V140" s="184"/>
      <c r="W140" s="184"/>
      <c r="X140" s="184"/>
      <c r="Y140" s="184"/>
      <c r="Z140" s="184"/>
      <c r="AA140" s="184"/>
      <c r="AB140" s="200" t="s">
        <v>2514</v>
      </c>
      <c r="AC140" s="201" t="s">
        <v>2515</v>
      </c>
      <c r="AD140" s="184"/>
      <c r="AE140" s="184"/>
      <c r="AF140" s="184"/>
      <c r="AG140" s="184"/>
      <c r="AH140" s="184"/>
      <c r="AI140" s="184"/>
      <c r="AJ140" s="184"/>
      <c r="AK140" s="184"/>
      <c r="AL140" s="184"/>
      <c r="AM140" s="184"/>
      <c r="AN140" s="184"/>
      <c r="AO140" s="184"/>
      <c r="AP140" s="184"/>
      <c r="AQ140" s="184"/>
      <c r="AR140" s="184"/>
      <c r="AS140" s="184"/>
      <c r="AT140" s="184"/>
      <c r="AU140" s="188"/>
    </row>
    <row r="141" spans="1:52" ht="16.5" customHeight="1" x14ac:dyDescent="0.25">
      <c r="A141" s="114" t="s">
        <v>667</v>
      </c>
      <c r="B141" s="114">
        <v>21</v>
      </c>
      <c r="C141" s="114">
        <v>22</v>
      </c>
      <c r="D141" s="114">
        <v>128</v>
      </c>
      <c r="E141" s="114">
        <v>132</v>
      </c>
      <c r="G141" s="184">
        <v>111</v>
      </c>
      <c r="H141" s="205"/>
      <c r="I141" s="184"/>
      <c r="J141" s="184"/>
      <c r="K141" s="184"/>
      <c r="L141" s="184"/>
      <c r="M141" s="184"/>
      <c r="N141" s="184"/>
      <c r="O141" s="184"/>
      <c r="P141" s="200" t="s">
        <v>2516</v>
      </c>
      <c r="Q141" s="201" t="s">
        <v>2517</v>
      </c>
      <c r="R141" s="184"/>
      <c r="S141" s="184"/>
      <c r="T141" s="184"/>
      <c r="U141" s="184"/>
      <c r="V141" s="184"/>
      <c r="W141" s="184"/>
      <c r="X141" s="184"/>
      <c r="Y141" s="184"/>
      <c r="Z141" s="184"/>
      <c r="AA141" s="184"/>
      <c r="AB141" s="200" t="s">
        <v>2518</v>
      </c>
      <c r="AC141" s="201" t="s">
        <v>2519</v>
      </c>
      <c r="AD141" s="184"/>
      <c r="AE141" s="184"/>
      <c r="AF141" s="184"/>
      <c r="AG141" s="184"/>
      <c r="AH141" s="184"/>
      <c r="AI141" s="184"/>
      <c r="AJ141" s="184"/>
      <c r="AK141" s="184"/>
      <c r="AL141" s="184"/>
      <c r="AM141" s="184"/>
      <c r="AN141" s="184"/>
      <c r="AO141" s="184"/>
      <c r="AP141" s="184"/>
      <c r="AQ141" s="184"/>
      <c r="AR141" s="184"/>
      <c r="AS141" s="184"/>
      <c r="AT141" s="184"/>
      <c r="AU141" s="188"/>
    </row>
    <row r="142" spans="1:52" ht="16.5" customHeight="1" x14ac:dyDescent="0.25">
      <c r="A142" s="198" t="s">
        <v>668</v>
      </c>
      <c r="B142" s="198">
        <v>23</v>
      </c>
      <c r="C142" s="198">
        <v>24</v>
      </c>
      <c r="D142" s="198">
        <v>19</v>
      </c>
      <c r="E142" s="198">
        <f>D143-1</f>
        <v>23</v>
      </c>
      <c r="G142" s="184">
        <v>112</v>
      </c>
      <c r="H142" s="205"/>
      <c r="I142" s="184"/>
      <c r="J142" s="184"/>
      <c r="K142" s="184"/>
      <c r="L142" s="184"/>
      <c r="M142" s="184"/>
      <c r="N142" s="184"/>
      <c r="O142" s="184"/>
      <c r="P142" s="184"/>
      <c r="Q142" s="184"/>
      <c r="R142" s="184"/>
      <c r="S142" s="184"/>
      <c r="T142" s="184"/>
      <c r="U142" s="184"/>
      <c r="V142" s="184"/>
      <c r="W142" s="184"/>
      <c r="X142" s="184"/>
      <c r="Y142" s="184"/>
      <c r="Z142" s="184"/>
      <c r="AA142" s="184"/>
      <c r="AB142" s="193" t="s">
        <v>665</v>
      </c>
      <c r="AC142" s="194" t="s">
        <v>2520</v>
      </c>
      <c r="AD142" s="184"/>
      <c r="AE142" s="184"/>
      <c r="AF142" s="184"/>
      <c r="AG142" s="184"/>
      <c r="AH142" s="184"/>
      <c r="AI142" s="184"/>
      <c r="AJ142" s="184"/>
      <c r="AK142" s="184"/>
      <c r="AL142" s="184"/>
      <c r="AM142" s="184"/>
      <c r="AN142" s="184"/>
      <c r="AO142" s="184"/>
      <c r="AP142" s="184"/>
      <c r="AQ142" s="184"/>
      <c r="AR142" s="184"/>
      <c r="AS142" s="184"/>
      <c r="AT142" s="184"/>
      <c r="AU142" s="188"/>
    </row>
    <row r="143" spans="1:52" ht="16.5" customHeight="1" x14ac:dyDescent="0.25">
      <c r="A143" s="114" t="s">
        <v>669</v>
      </c>
      <c r="B143" s="114">
        <v>23</v>
      </c>
      <c r="C143" s="114">
        <v>24</v>
      </c>
      <c r="D143" s="114">
        <v>24</v>
      </c>
      <c r="E143" s="114">
        <f t="shared" ref="E143:E153" si="11">D144-1</f>
        <v>28</v>
      </c>
      <c r="G143" s="184">
        <v>113</v>
      </c>
      <c r="H143" s="205"/>
      <c r="I143" s="184"/>
      <c r="J143" s="184"/>
      <c r="K143" s="184"/>
      <c r="L143" s="184"/>
      <c r="M143" s="184"/>
      <c r="N143" s="184"/>
      <c r="O143" s="184"/>
      <c r="P143" s="184"/>
      <c r="Q143" s="184"/>
      <c r="R143" s="184"/>
      <c r="S143" s="184"/>
      <c r="T143" s="184"/>
      <c r="U143" s="184"/>
      <c r="V143" s="184"/>
      <c r="W143" s="184"/>
      <c r="X143" s="184"/>
      <c r="Y143" s="184"/>
      <c r="Z143" s="184"/>
      <c r="AA143" s="184"/>
      <c r="AB143" s="193" t="s">
        <v>2521</v>
      </c>
      <c r="AC143" s="194" t="s">
        <v>2522</v>
      </c>
      <c r="AD143" s="184"/>
      <c r="AE143" s="184"/>
      <c r="AF143" s="184"/>
      <c r="AG143" s="184"/>
      <c r="AH143" s="184"/>
      <c r="AI143" s="184"/>
      <c r="AJ143" s="184"/>
      <c r="AK143" s="184"/>
      <c r="AL143" s="184"/>
      <c r="AM143" s="184"/>
      <c r="AN143" s="184"/>
      <c r="AO143" s="184"/>
      <c r="AP143" s="184"/>
      <c r="AQ143" s="184"/>
      <c r="AR143" s="184"/>
      <c r="AS143" s="184"/>
      <c r="AT143" s="184"/>
      <c r="AU143" s="188"/>
    </row>
    <row r="144" spans="1:52" ht="16.5" customHeight="1" x14ac:dyDescent="0.25">
      <c r="A144" s="114" t="s">
        <v>670</v>
      </c>
      <c r="B144" s="114">
        <v>23</v>
      </c>
      <c r="C144" s="114">
        <v>24</v>
      </c>
      <c r="D144" s="114">
        <v>29</v>
      </c>
      <c r="E144" s="114">
        <f t="shared" si="11"/>
        <v>33</v>
      </c>
      <c r="G144" s="184">
        <v>114</v>
      </c>
      <c r="H144" s="205"/>
      <c r="I144" s="184"/>
      <c r="J144" s="184"/>
      <c r="K144" s="184"/>
      <c r="L144" s="184"/>
      <c r="M144" s="184"/>
      <c r="N144" s="184"/>
      <c r="O144" s="184"/>
      <c r="P144" s="184"/>
      <c r="Q144" s="184"/>
      <c r="R144" s="184"/>
      <c r="S144" s="184"/>
      <c r="T144" s="184"/>
      <c r="U144" s="184"/>
      <c r="V144" s="184"/>
      <c r="W144" s="184"/>
      <c r="X144" s="184"/>
      <c r="Y144" s="184"/>
      <c r="Z144" s="184"/>
      <c r="AA144" s="184"/>
      <c r="AB144" s="193" t="s">
        <v>2523</v>
      </c>
      <c r="AC144" s="194" t="s">
        <v>2524</v>
      </c>
      <c r="AD144" s="184"/>
      <c r="AE144" s="184"/>
      <c r="AF144" s="184"/>
      <c r="AG144" s="184"/>
      <c r="AH144" s="184"/>
      <c r="AI144" s="184"/>
      <c r="AJ144" s="184"/>
      <c r="AK144" s="184"/>
      <c r="AL144" s="184"/>
      <c r="AM144" s="184"/>
      <c r="AN144" s="184"/>
      <c r="AO144" s="184"/>
      <c r="AP144" s="184"/>
      <c r="AQ144" s="184"/>
      <c r="AR144" s="184"/>
      <c r="AS144" s="184"/>
      <c r="AT144" s="184"/>
      <c r="AU144" s="188"/>
    </row>
    <row r="145" spans="1:47" ht="16.5" customHeight="1" x14ac:dyDescent="0.25">
      <c r="A145" s="114" t="s">
        <v>671</v>
      </c>
      <c r="B145" s="114">
        <v>23</v>
      </c>
      <c r="C145" s="114">
        <v>24</v>
      </c>
      <c r="D145" s="114">
        <v>34</v>
      </c>
      <c r="E145" s="114">
        <f t="shared" si="11"/>
        <v>38</v>
      </c>
      <c r="G145" s="184">
        <v>115</v>
      </c>
      <c r="H145" s="205"/>
      <c r="I145" s="184"/>
      <c r="J145" s="184"/>
      <c r="K145" s="184"/>
      <c r="L145" s="184"/>
      <c r="M145" s="184"/>
      <c r="N145" s="184"/>
      <c r="O145" s="184"/>
      <c r="P145" s="184"/>
      <c r="Q145" s="184"/>
      <c r="R145" s="184"/>
      <c r="S145" s="184"/>
      <c r="T145" s="184"/>
      <c r="U145" s="184"/>
      <c r="V145" s="184"/>
      <c r="W145" s="184"/>
      <c r="X145" s="184"/>
      <c r="Y145" s="184"/>
      <c r="Z145" s="184"/>
      <c r="AA145" s="184"/>
      <c r="AB145" s="193" t="s">
        <v>2525</v>
      </c>
      <c r="AC145" s="194" t="s">
        <v>2526</v>
      </c>
      <c r="AD145" s="184"/>
      <c r="AE145" s="184"/>
      <c r="AF145" s="184"/>
      <c r="AG145" s="184"/>
      <c r="AH145" s="184"/>
      <c r="AI145" s="184"/>
      <c r="AJ145" s="184"/>
      <c r="AK145" s="184"/>
      <c r="AL145" s="184"/>
      <c r="AM145" s="184"/>
      <c r="AN145" s="184"/>
      <c r="AO145" s="184"/>
      <c r="AP145" s="184"/>
      <c r="AQ145" s="184"/>
      <c r="AR145" s="184"/>
      <c r="AS145" s="184"/>
      <c r="AT145" s="184"/>
      <c r="AU145" s="188"/>
    </row>
    <row r="146" spans="1:47" ht="16.5" customHeight="1" x14ac:dyDescent="0.25">
      <c r="A146" s="114" t="s">
        <v>672</v>
      </c>
      <c r="B146" s="114">
        <v>23</v>
      </c>
      <c r="C146" s="114">
        <v>24</v>
      </c>
      <c r="D146" s="114">
        <v>39</v>
      </c>
      <c r="E146" s="114">
        <f t="shared" si="11"/>
        <v>43</v>
      </c>
      <c r="G146" s="184">
        <v>116</v>
      </c>
      <c r="H146" s="205"/>
      <c r="I146" s="184"/>
      <c r="J146" s="184"/>
      <c r="K146" s="184"/>
      <c r="L146" s="184"/>
      <c r="M146" s="184"/>
      <c r="N146" s="184"/>
      <c r="O146" s="184"/>
      <c r="P146" s="184"/>
      <c r="Q146" s="184"/>
      <c r="R146" s="184"/>
      <c r="S146" s="184"/>
      <c r="T146" s="184"/>
      <c r="U146" s="184"/>
      <c r="V146" s="184"/>
      <c r="W146" s="184"/>
      <c r="X146" s="184"/>
      <c r="Y146" s="184"/>
      <c r="Z146" s="184"/>
      <c r="AA146" s="184"/>
      <c r="AB146" s="193" t="s">
        <v>2527</v>
      </c>
      <c r="AC146" s="194" t="s">
        <v>2528</v>
      </c>
      <c r="AD146" s="184"/>
      <c r="AE146" s="184"/>
      <c r="AF146" s="184"/>
      <c r="AG146" s="184"/>
      <c r="AH146" s="184"/>
      <c r="AI146" s="184"/>
      <c r="AJ146" s="184"/>
      <c r="AK146" s="184"/>
      <c r="AL146" s="184"/>
      <c r="AM146" s="184"/>
      <c r="AN146" s="184"/>
      <c r="AO146" s="184"/>
      <c r="AP146" s="184"/>
      <c r="AQ146" s="184"/>
      <c r="AR146" s="184"/>
      <c r="AS146" s="184"/>
      <c r="AT146" s="184"/>
      <c r="AU146" s="188"/>
    </row>
    <row r="147" spans="1:47" ht="16.5" customHeight="1" x14ac:dyDescent="0.25">
      <c r="A147" s="114" t="s">
        <v>673</v>
      </c>
      <c r="B147" s="114">
        <v>23</v>
      </c>
      <c r="C147" s="114">
        <v>24</v>
      </c>
      <c r="D147" s="114">
        <v>44</v>
      </c>
      <c r="E147" s="114">
        <f t="shared" si="11"/>
        <v>48</v>
      </c>
      <c r="G147" s="184">
        <v>117</v>
      </c>
      <c r="H147" s="205"/>
      <c r="I147" s="184"/>
      <c r="J147" s="184"/>
      <c r="K147" s="184"/>
      <c r="L147" s="184"/>
      <c r="M147" s="184"/>
      <c r="N147" s="184"/>
      <c r="O147" s="184"/>
      <c r="P147" s="184"/>
      <c r="Q147" s="184"/>
      <c r="R147" s="184"/>
      <c r="S147" s="184"/>
      <c r="T147" s="184"/>
      <c r="U147" s="184"/>
      <c r="V147" s="184"/>
      <c r="W147" s="184"/>
      <c r="X147" s="184"/>
      <c r="Y147" s="184"/>
      <c r="Z147" s="184"/>
      <c r="AA147" s="184"/>
      <c r="AB147" s="193" t="s">
        <v>2529</v>
      </c>
      <c r="AC147" s="194" t="s">
        <v>2530</v>
      </c>
      <c r="AD147" s="184"/>
      <c r="AE147" s="184"/>
      <c r="AF147" s="184"/>
      <c r="AG147" s="184"/>
      <c r="AH147" s="184"/>
      <c r="AI147" s="184"/>
      <c r="AJ147" s="184"/>
      <c r="AK147" s="184"/>
      <c r="AL147" s="184"/>
      <c r="AM147" s="184"/>
      <c r="AN147" s="184"/>
      <c r="AO147" s="184"/>
      <c r="AP147" s="184"/>
      <c r="AQ147" s="184"/>
      <c r="AR147" s="184"/>
      <c r="AS147" s="184"/>
      <c r="AT147" s="184"/>
      <c r="AU147" s="188"/>
    </row>
    <row r="148" spans="1:47" ht="16.5" customHeight="1" x14ac:dyDescent="0.25">
      <c r="A148" s="114" t="s">
        <v>674</v>
      </c>
      <c r="B148" s="114">
        <v>23</v>
      </c>
      <c r="C148" s="114">
        <v>24</v>
      </c>
      <c r="D148" s="114">
        <v>49</v>
      </c>
      <c r="E148" s="114">
        <f t="shared" si="11"/>
        <v>53</v>
      </c>
      <c r="G148" s="184">
        <v>118</v>
      </c>
      <c r="H148" s="205"/>
      <c r="I148" s="184"/>
      <c r="J148" s="184"/>
      <c r="K148" s="184"/>
      <c r="L148" s="184"/>
      <c r="M148" s="184"/>
      <c r="N148" s="184"/>
      <c r="O148" s="184"/>
      <c r="P148" s="184"/>
      <c r="Q148" s="184"/>
      <c r="R148" s="184"/>
      <c r="S148" s="184"/>
      <c r="T148" s="184"/>
      <c r="U148" s="184"/>
      <c r="V148" s="184"/>
      <c r="W148" s="184"/>
      <c r="X148" s="184"/>
      <c r="Y148" s="184"/>
      <c r="Z148" s="184"/>
      <c r="AA148" s="184"/>
      <c r="AB148" s="193" t="s">
        <v>2531</v>
      </c>
      <c r="AC148" s="194" t="s">
        <v>2532</v>
      </c>
      <c r="AD148" s="184"/>
      <c r="AE148" s="184"/>
      <c r="AF148" s="184"/>
      <c r="AG148" s="184"/>
      <c r="AH148" s="184"/>
      <c r="AI148" s="184"/>
      <c r="AJ148" s="184"/>
      <c r="AK148" s="184"/>
      <c r="AL148" s="184"/>
      <c r="AM148" s="184"/>
      <c r="AN148" s="184"/>
      <c r="AO148" s="184"/>
      <c r="AP148" s="184"/>
      <c r="AQ148" s="184"/>
      <c r="AR148" s="184"/>
      <c r="AS148" s="184"/>
      <c r="AT148" s="184"/>
      <c r="AU148" s="188"/>
    </row>
    <row r="149" spans="1:47" ht="16.5" customHeight="1" x14ac:dyDescent="0.25">
      <c r="A149" s="114" t="s">
        <v>675</v>
      </c>
      <c r="B149" s="114">
        <v>23</v>
      </c>
      <c r="C149" s="114">
        <v>24</v>
      </c>
      <c r="D149" s="114">
        <v>54</v>
      </c>
      <c r="E149" s="114">
        <f t="shared" si="11"/>
        <v>58</v>
      </c>
      <c r="G149" s="184">
        <v>119</v>
      </c>
      <c r="H149" s="205"/>
      <c r="I149" s="184"/>
      <c r="J149" s="184"/>
      <c r="K149" s="184"/>
      <c r="L149" s="184"/>
      <c r="M149" s="184"/>
      <c r="N149" s="184"/>
      <c r="O149" s="184"/>
      <c r="P149" s="184"/>
      <c r="Q149" s="184"/>
      <c r="R149" s="184"/>
      <c r="S149" s="184"/>
      <c r="T149" s="184"/>
      <c r="U149" s="184"/>
      <c r="V149" s="184"/>
      <c r="W149" s="184"/>
      <c r="X149" s="184"/>
      <c r="Y149" s="184"/>
      <c r="Z149" s="184"/>
      <c r="AA149" s="184"/>
      <c r="AB149" s="193" t="s">
        <v>2533</v>
      </c>
      <c r="AC149" s="194" t="s">
        <v>2534</v>
      </c>
      <c r="AD149" s="184"/>
      <c r="AE149" s="184"/>
      <c r="AF149" s="184"/>
      <c r="AG149" s="184"/>
      <c r="AH149" s="184"/>
      <c r="AI149" s="184"/>
      <c r="AJ149" s="184"/>
      <c r="AK149" s="184"/>
      <c r="AL149" s="184"/>
      <c r="AM149" s="184"/>
      <c r="AN149" s="184"/>
      <c r="AO149" s="184"/>
      <c r="AP149" s="184"/>
      <c r="AQ149" s="184"/>
      <c r="AR149" s="184"/>
      <c r="AS149" s="184"/>
      <c r="AT149" s="184"/>
      <c r="AU149" s="188"/>
    </row>
    <row r="150" spans="1:47" ht="16.5" customHeight="1" x14ac:dyDescent="0.25">
      <c r="A150" s="114" t="s">
        <v>676</v>
      </c>
      <c r="B150" s="114">
        <v>23</v>
      </c>
      <c r="C150" s="114">
        <v>24</v>
      </c>
      <c r="D150" s="114">
        <v>59</v>
      </c>
      <c r="E150" s="114">
        <f t="shared" si="11"/>
        <v>63</v>
      </c>
      <c r="G150" s="184">
        <v>120</v>
      </c>
      <c r="H150" s="205"/>
      <c r="I150" s="184"/>
      <c r="J150" s="184"/>
      <c r="K150" s="184"/>
      <c r="L150" s="184"/>
      <c r="M150" s="184"/>
      <c r="N150" s="184"/>
      <c r="O150" s="184"/>
      <c r="P150" s="184"/>
      <c r="Q150" s="184"/>
      <c r="R150" s="184"/>
      <c r="S150" s="184"/>
      <c r="T150" s="184"/>
      <c r="U150" s="184"/>
      <c r="V150" s="184"/>
      <c r="W150" s="184"/>
      <c r="X150" s="184"/>
      <c r="Y150" s="184"/>
      <c r="Z150" s="184"/>
      <c r="AA150" s="184"/>
      <c r="AB150" s="200" t="s">
        <v>666</v>
      </c>
      <c r="AC150" s="201" t="s">
        <v>2535</v>
      </c>
      <c r="AD150" s="184"/>
      <c r="AE150" s="184"/>
      <c r="AF150" s="184"/>
      <c r="AG150" s="184"/>
      <c r="AH150" s="184"/>
      <c r="AI150" s="184"/>
      <c r="AJ150" s="184"/>
      <c r="AK150" s="184"/>
      <c r="AL150" s="184"/>
      <c r="AM150" s="184"/>
      <c r="AN150" s="184"/>
      <c r="AO150" s="184"/>
      <c r="AP150" s="184"/>
      <c r="AQ150" s="184"/>
      <c r="AR150" s="184"/>
      <c r="AS150" s="184"/>
      <c r="AT150" s="184"/>
      <c r="AU150" s="188"/>
    </row>
    <row r="151" spans="1:47" ht="16.5" customHeight="1" x14ac:dyDescent="0.25">
      <c r="A151" s="114" t="s">
        <v>677</v>
      </c>
      <c r="B151" s="114">
        <v>23</v>
      </c>
      <c r="C151" s="114">
        <v>24</v>
      </c>
      <c r="D151" s="114">
        <v>64</v>
      </c>
      <c r="E151" s="114">
        <f t="shared" si="11"/>
        <v>68</v>
      </c>
      <c r="G151" s="184">
        <v>121</v>
      </c>
      <c r="H151" s="205"/>
      <c r="I151" s="184"/>
      <c r="J151" s="184"/>
      <c r="K151" s="184"/>
      <c r="L151" s="184"/>
      <c r="M151" s="184"/>
      <c r="N151" s="184"/>
      <c r="O151" s="184"/>
      <c r="P151" s="184"/>
      <c r="Q151" s="184"/>
      <c r="R151" s="184"/>
      <c r="S151" s="184"/>
      <c r="T151" s="184"/>
      <c r="U151" s="184"/>
      <c r="V151" s="184"/>
      <c r="W151" s="184"/>
      <c r="X151" s="184"/>
      <c r="Y151" s="184"/>
      <c r="Z151" s="184"/>
      <c r="AA151" s="184"/>
      <c r="AB151" s="200" t="s">
        <v>2536</v>
      </c>
      <c r="AC151" s="201" t="s">
        <v>2537</v>
      </c>
      <c r="AD151" s="184"/>
      <c r="AE151" s="184"/>
      <c r="AF151" s="184"/>
      <c r="AG151" s="184"/>
      <c r="AH151" s="184"/>
      <c r="AI151" s="184"/>
      <c r="AJ151" s="184"/>
      <c r="AK151" s="184"/>
      <c r="AL151" s="184"/>
      <c r="AM151" s="184"/>
      <c r="AN151" s="184"/>
      <c r="AO151" s="184"/>
      <c r="AP151" s="184"/>
      <c r="AQ151" s="184"/>
      <c r="AR151" s="184"/>
      <c r="AS151" s="184"/>
      <c r="AT151" s="184"/>
      <c r="AU151" s="188"/>
    </row>
    <row r="152" spans="1:47" ht="16.5" customHeight="1" x14ac:dyDescent="0.25">
      <c r="A152" s="114" t="s">
        <v>678</v>
      </c>
      <c r="B152" s="114">
        <v>23</v>
      </c>
      <c r="C152" s="114">
        <v>24</v>
      </c>
      <c r="D152" s="114">
        <v>69</v>
      </c>
      <c r="E152" s="114">
        <f t="shared" si="11"/>
        <v>73</v>
      </c>
      <c r="G152" s="184">
        <v>122</v>
      </c>
      <c r="H152" s="205"/>
      <c r="I152" s="184"/>
      <c r="J152" s="184"/>
      <c r="K152" s="184"/>
      <c r="L152" s="184"/>
      <c r="M152" s="184"/>
      <c r="N152" s="184"/>
      <c r="O152" s="184"/>
      <c r="P152" s="184"/>
      <c r="Q152" s="184"/>
      <c r="R152" s="184"/>
      <c r="S152" s="184"/>
      <c r="T152" s="184"/>
      <c r="U152" s="184"/>
      <c r="V152" s="184"/>
      <c r="W152" s="184"/>
      <c r="X152" s="184"/>
      <c r="Y152" s="184"/>
      <c r="Z152" s="184"/>
      <c r="AA152" s="184"/>
      <c r="AB152" s="200" t="s">
        <v>2538</v>
      </c>
      <c r="AC152" s="201" t="s">
        <v>2539</v>
      </c>
      <c r="AD152" s="184"/>
      <c r="AE152" s="184"/>
      <c r="AF152" s="184"/>
      <c r="AG152" s="184"/>
      <c r="AH152" s="184"/>
      <c r="AI152" s="184"/>
      <c r="AJ152" s="184"/>
      <c r="AK152" s="184"/>
      <c r="AL152" s="184"/>
      <c r="AM152" s="184"/>
      <c r="AN152" s="184"/>
      <c r="AO152" s="184"/>
      <c r="AP152" s="184"/>
      <c r="AQ152" s="184"/>
      <c r="AR152" s="184"/>
      <c r="AS152" s="184"/>
      <c r="AT152" s="184"/>
      <c r="AU152" s="188"/>
    </row>
    <row r="153" spans="1:47" ht="16.5" customHeight="1" x14ac:dyDescent="0.25">
      <c r="A153" s="114" t="s">
        <v>679</v>
      </c>
      <c r="B153" s="114">
        <v>23</v>
      </c>
      <c r="C153" s="114">
        <v>24</v>
      </c>
      <c r="D153" s="114">
        <v>74</v>
      </c>
      <c r="E153" s="114">
        <f t="shared" si="11"/>
        <v>77</v>
      </c>
      <c r="G153" s="184">
        <v>123</v>
      </c>
      <c r="H153" s="205"/>
      <c r="I153" s="184"/>
      <c r="J153" s="184"/>
      <c r="K153" s="184"/>
      <c r="L153" s="184"/>
      <c r="M153" s="184"/>
      <c r="N153" s="184"/>
      <c r="O153" s="184"/>
      <c r="P153" s="184"/>
      <c r="Q153" s="184"/>
      <c r="R153" s="184"/>
      <c r="S153" s="184"/>
      <c r="T153" s="184"/>
      <c r="U153" s="184"/>
      <c r="V153" s="184"/>
      <c r="W153" s="184"/>
      <c r="X153" s="184"/>
      <c r="Y153" s="184"/>
      <c r="Z153" s="184"/>
      <c r="AA153" s="184"/>
      <c r="AB153" s="200" t="s">
        <v>2540</v>
      </c>
      <c r="AC153" s="201" t="s">
        <v>2541</v>
      </c>
      <c r="AD153" s="184"/>
      <c r="AE153" s="184"/>
      <c r="AF153" s="184"/>
      <c r="AG153" s="184"/>
      <c r="AH153" s="184"/>
      <c r="AI153" s="184"/>
      <c r="AJ153" s="184"/>
      <c r="AK153" s="184"/>
      <c r="AL153" s="184"/>
      <c r="AM153" s="184"/>
      <c r="AN153" s="184"/>
      <c r="AO153" s="184"/>
      <c r="AP153" s="184"/>
      <c r="AQ153" s="184"/>
      <c r="AR153" s="184"/>
      <c r="AS153" s="184"/>
      <c r="AT153" s="184"/>
      <c r="AU153" s="188"/>
    </row>
    <row r="154" spans="1:47" ht="16.5" customHeight="1" x14ac:dyDescent="0.25">
      <c r="A154" s="114" t="s">
        <v>680</v>
      </c>
      <c r="B154" s="114">
        <v>23</v>
      </c>
      <c r="C154" s="114">
        <v>24</v>
      </c>
      <c r="D154" s="114">
        <v>78</v>
      </c>
      <c r="E154" s="114">
        <v>82</v>
      </c>
      <c r="G154" s="184">
        <v>124</v>
      </c>
      <c r="H154" s="205"/>
      <c r="I154" s="184"/>
      <c r="J154" s="184"/>
      <c r="K154" s="184"/>
      <c r="L154" s="184"/>
      <c r="M154" s="184"/>
      <c r="N154" s="184"/>
      <c r="O154" s="184"/>
      <c r="P154" s="184"/>
      <c r="Q154" s="184"/>
      <c r="R154" s="184"/>
      <c r="S154" s="184"/>
      <c r="T154" s="184"/>
      <c r="U154" s="184"/>
      <c r="V154" s="184"/>
      <c r="W154" s="184"/>
      <c r="X154" s="184"/>
      <c r="Y154" s="184"/>
      <c r="Z154" s="184"/>
      <c r="AA154" s="184"/>
      <c r="AB154" s="200" t="s">
        <v>2542</v>
      </c>
      <c r="AC154" s="201" t="s">
        <v>2543</v>
      </c>
      <c r="AD154" s="184"/>
      <c r="AE154" s="184"/>
      <c r="AF154" s="184"/>
      <c r="AG154" s="184"/>
      <c r="AH154" s="184"/>
      <c r="AI154" s="184"/>
      <c r="AJ154" s="184"/>
      <c r="AK154" s="184"/>
      <c r="AL154" s="184"/>
      <c r="AM154" s="184"/>
      <c r="AN154" s="184"/>
      <c r="AO154" s="184"/>
      <c r="AP154" s="184"/>
      <c r="AQ154" s="184"/>
      <c r="AR154" s="184"/>
      <c r="AS154" s="184"/>
      <c r="AT154" s="184"/>
      <c r="AU154" s="188"/>
    </row>
    <row r="155" spans="1:47" ht="16.5" customHeight="1" x14ac:dyDescent="0.25">
      <c r="A155" s="198" t="s">
        <v>683</v>
      </c>
      <c r="B155" s="198">
        <v>25</v>
      </c>
      <c r="C155" s="198">
        <v>26</v>
      </c>
      <c r="D155" s="198">
        <v>42</v>
      </c>
      <c r="E155" s="198">
        <v>47</v>
      </c>
      <c r="G155" s="184">
        <v>125</v>
      </c>
      <c r="H155" s="205"/>
      <c r="I155" s="184"/>
      <c r="J155" s="184"/>
      <c r="K155" s="184"/>
      <c r="L155" s="184"/>
      <c r="M155" s="184"/>
      <c r="N155" s="184"/>
      <c r="O155" s="184"/>
      <c r="P155" s="184"/>
      <c r="Q155" s="184"/>
      <c r="R155" s="184"/>
      <c r="S155" s="184"/>
      <c r="T155" s="184"/>
      <c r="U155" s="184"/>
      <c r="V155" s="184"/>
      <c r="W155" s="184"/>
      <c r="X155" s="184"/>
      <c r="Y155" s="184"/>
      <c r="Z155" s="184"/>
      <c r="AA155" s="184"/>
      <c r="AB155" s="200" t="s">
        <v>2544</v>
      </c>
      <c r="AC155" s="201" t="s">
        <v>2545</v>
      </c>
      <c r="AD155" s="184"/>
      <c r="AE155" s="184"/>
      <c r="AF155" s="184"/>
      <c r="AG155" s="184"/>
      <c r="AH155" s="184"/>
      <c r="AI155" s="184"/>
      <c r="AJ155" s="184"/>
      <c r="AK155" s="184"/>
      <c r="AL155" s="184"/>
      <c r="AM155" s="184"/>
      <c r="AN155" s="184"/>
      <c r="AO155" s="184"/>
      <c r="AP155" s="184"/>
      <c r="AQ155" s="184"/>
      <c r="AR155" s="184"/>
      <c r="AS155" s="184"/>
      <c r="AT155" s="184"/>
      <c r="AU155" s="188"/>
    </row>
    <row r="156" spans="1:47" ht="16.5" customHeight="1" x14ac:dyDescent="0.25">
      <c r="A156" s="114" t="s">
        <v>684</v>
      </c>
      <c r="B156" s="114">
        <v>25</v>
      </c>
      <c r="C156" s="114">
        <v>26</v>
      </c>
      <c r="D156" s="114">
        <v>48</v>
      </c>
      <c r="E156" s="114">
        <v>53</v>
      </c>
      <c r="G156" s="184">
        <v>126</v>
      </c>
      <c r="H156" s="205"/>
      <c r="I156" s="184"/>
      <c r="J156" s="184"/>
      <c r="K156" s="184"/>
      <c r="L156" s="184"/>
      <c r="M156" s="184"/>
      <c r="N156" s="184"/>
      <c r="O156" s="184"/>
      <c r="P156" s="184"/>
      <c r="Q156" s="184"/>
      <c r="R156" s="184"/>
      <c r="S156" s="184"/>
      <c r="T156" s="184"/>
      <c r="U156" s="184"/>
      <c r="V156" s="184"/>
      <c r="W156" s="184"/>
      <c r="X156" s="184"/>
      <c r="Y156" s="184"/>
      <c r="Z156" s="184"/>
      <c r="AA156" s="184"/>
      <c r="AB156" s="200" t="s">
        <v>2546</v>
      </c>
      <c r="AC156" s="201" t="s">
        <v>2547</v>
      </c>
      <c r="AD156" s="184"/>
      <c r="AE156" s="184"/>
      <c r="AF156" s="184"/>
      <c r="AG156" s="184"/>
      <c r="AH156" s="184"/>
      <c r="AI156" s="184"/>
      <c r="AJ156" s="184"/>
      <c r="AK156" s="184"/>
      <c r="AL156" s="184"/>
      <c r="AM156" s="184"/>
      <c r="AN156" s="184"/>
      <c r="AO156" s="184"/>
      <c r="AP156" s="184"/>
      <c r="AQ156" s="184"/>
      <c r="AR156" s="184"/>
      <c r="AS156" s="184"/>
      <c r="AT156" s="184"/>
      <c r="AU156" s="188"/>
    </row>
    <row r="157" spans="1:47" ht="16.5" customHeight="1" x14ac:dyDescent="0.25">
      <c r="A157" s="114" t="s">
        <v>685</v>
      </c>
      <c r="B157" s="114">
        <v>25</v>
      </c>
      <c r="C157" s="114">
        <v>26</v>
      </c>
      <c r="D157" s="114">
        <v>54</v>
      </c>
      <c r="E157" s="114">
        <v>60</v>
      </c>
      <c r="G157" s="184">
        <v>127</v>
      </c>
      <c r="H157" s="205"/>
      <c r="I157" s="184"/>
      <c r="J157" s="184"/>
      <c r="K157" s="184"/>
      <c r="L157" s="184"/>
      <c r="M157" s="184"/>
      <c r="N157" s="184"/>
      <c r="O157" s="184"/>
      <c r="P157" s="184"/>
      <c r="Q157" s="184"/>
      <c r="R157" s="184"/>
      <c r="S157" s="184"/>
      <c r="T157" s="184"/>
      <c r="U157" s="184"/>
      <c r="V157" s="184"/>
      <c r="W157" s="184"/>
      <c r="X157" s="184"/>
      <c r="Y157" s="184"/>
      <c r="Z157" s="184"/>
      <c r="AA157" s="184"/>
      <c r="AB157" s="200" t="s">
        <v>2548</v>
      </c>
      <c r="AC157" s="201" t="s">
        <v>2549</v>
      </c>
      <c r="AD157" s="184"/>
      <c r="AE157" s="184"/>
      <c r="AF157" s="184"/>
      <c r="AG157" s="184"/>
      <c r="AH157" s="184"/>
      <c r="AI157" s="184"/>
      <c r="AJ157" s="184"/>
      <c r="AK157" s="184"/>
      <c r="AL157" s="184"/>
      <c r="AM157" s="184"/>
      <c r="AN157" s="184"/>
      <c r="AO157" s="184"/>
      <c r="AP157" s="184"/>
      <c r="AQ157" s="184"/>
      <c r="AR157" s="184"/>
      <c r="AS157" s="184"/>
      <c r="AT157" s="184"/>
      <c r="AU157" s="188"/>
    </row>
    <row r="158" spans="1:47" ht="16.5" customHeight="1" x14ac:dyDescent="0.25">
      <c r="A158" s="114" t="s">
        <v>686</v>
      </c>
      <c r="B158" s="114">
        <v>25</v>
      </c>
      <c r="C158" s="114">
        <v>26</v>
      </c>
      <c r="D158" s="114">
        <v>61</v>
      </c>
      <c r="E158" s="114">
        <v>69</v>
      </c>
      <c r="G158" s="184">
        <v>128</v>
      </c>
      <c r="H158" s="205"/>
      <c r="I158" s="184"/>
      <c r="J158" s="184"/>
      <c r="K158" s="184"/>
      <c r="L158" s="184"/>
      <c r="M158" s="184"/>
      <c r="N158" s="184"/>
      <c r="O158" s="184"/>
      <c r="P158" s="184"/>
      <c r="Q158" s="184"/>
      <c r="R158" s="184"/>
      <c r="S158" s="184"/>
      <c r="T158" s="184"/>
      <c r="U158" s="184"/>
      <c r="V158" s="184"/>
      <c r="W158" s="184"/>
      <c r="X158" s="184"/>
      <c r="Y158" s="184"/>
      <c r="Z158" s="184"/>
      <c r="AA158" s="184"/>
      <c r="AB158" s="193" t="s">
        <v>2550</v>
      </c>
      <c r="AC158" s="194" t="s">
        <v>2551</v>
      </c>
      <c r="AD158" s="184"/>
      <c r="AE158" s="184"/>
      <c r="AF158" s="184"/>
      <c r="AG158" s="184"/>
      <c r="AH158" s="184"/>
      <c r="AI158" s="184"/>
      <c r="AJ158" s="184"/>
      <c r="AK158" s="184"/>
      <c r="AL158" s="184"/>
      <c r="AM158" s="184"/>
      <c r="AN158" s="184"/>
      <c r="AO158" s="184"/>
      <c r="AP158" s="184"/>
      <c r="AQ158" s="184"/>
      <c r="AR158" s="184"/>
      <c r="AS158" s="184"/>
      <c r="AT158" s="184"/>
      <c r="AU158" s="188"/>
    </row>
    <row r="159" spans="1:47" ht="16.5" customHeight="1" x14ac:dyDescent="0.25">
      <c r="G159" s="184">
        <v>129</v>
      </c>
      <c r="H159" s="205"/>
      <c r="I159" s="184"/>
      <c r="J159" s="184"/>
      <c r="K159" s="184"/>
      <c r="L159" s="184"/>
      <c r="M159" s="184"/>
      <c r="N159" s="184"/>
      <c r="O159" s="184"/>
      <c r="P159" s="184"/>
      <c r="Q159" s="184"/>
      <c r="R159" s="184"/>
      <c r="S159" s="184"/>
      <c r="T159" s="184"/>
      <c r="U159" s="184"/>
      <c r="V159" s="184"/>
      <c r="W159" s="184"/>
      <c r="X159" s="184"/>
      <c r="Y159" s="184"/>
      <c r="Z159" s="184"/>
      <c r="AA159" s="184"/>
      <c r="AB159" s="193" t="s">
        <v>2552</v>
      </c>
      <c r="AC159" s="194" t="s">
        <v>2553</v>
      </c>
      <c r="AD159" s="184"/>
      <c r="AE159" s="184"/>
      <c r="AF159" s="184"/>
      <c r="AG159" s="184"/>
      <c r="AH159" s="184"/>
      <c r="AI159" s="184"/>
      <c r="AJ159" s="184"/>
      <c r="AK159" s="184"/>
      <c r="AL159" s="184"/>
      <c r="AM159" s="184"/>
      <c r="AN159" s="184"/>
      <c r="AO159" s="184"/>
      <c r="AP159" s="184"/>
      <c r="AQ159" s="184"/>
      <c r="AR159" s="184"/>
      <c r="AS159" s="184"/>
      <c r="AT159" s="184"/>
      <c r="AU159" s="188"/>
    </row>
    <row r="160" spans="1:47" ht="16.5" customHeight="1" x14ac:dyDescent="0.25">
      <c r="G160" s="184">
        <v>130</v>
      </c>
      <c r="H160" s="205"/>
      <c r="I160" s="184"/>
      <c r="J160" s="184"/>
      <c r="K160" s="184"/>
      <c r="L160" s="184"/>
      <c r="M160" s="184"/>
      <c r="N160" s="184"/>
      <c r="O160" s="184"/>
      <c r="P160" s="184"/>
      <c r="Q160" s="184"/>
      <c r="R160" s="184"/>
      <c r="S160" s="184"/>
      <c r="T160" s="184"/>
      <c r="U160" s="184"/>
      <c r="V160" s="184"/>
      <c r="W160" s="184"/>
      <c r="X160" s="184"/>
      <c r="Y160" s="184"/>
      <c r="Z160" s="184"/>
      <c r="AA160" s="184"/>
      <c r="AB160" s="193" t="s">
        <v>2554</v>
      </c>
      <c r="AC160" s="194" t="s">
        <v>2555</v>
      </c>
      <c r="AD160" s="184"/>
      <c r="AE160" s="184"/>
      <c r="AF160" s="184"/>
      <c r="AG160" s="184"/>
      <c r="AH160" s="184"/>
      <c r="AI160" s="184"/>
      <c r="AJ160" s="184"/>
      <c r="AK160" s="184"/>
      <c r="AL160" s="184"/>
      <c r="AM160" s="184"/>
      <c r="AN160" s="184"/>
      <c r="AO160" s="184"/>
      <c r="AP160" s="184"/>
      <c r="AQ160" s="184"/>
      <c r="AR160" s="184"/>
      <c r="AS160" s="184"/>
      <c r="AT160" s="184"/>
      <c r="AU160" s="188"/>
    </row>
    <row r="161" spans="7:47" ht="16.5" customHeight="1" x14ac:dyDescent="0.25">
      <c r="G161" s="184">
        <v>131</v>
      </c>
      <c r="H161" s="205"/>
      <c r="I161" s="184"/>
      <c r="J161" s="184"/>
      <c r="K161" s="184"/>
      <c r="L161" s="184"/>
      <c r="M161" s="184"/>
      <c r="N161" s="184"/>
      <c r="O161" s="184"/>
      <c r="P161" s="184"/>
      <c r="Q161" s="184"/>
      <c r="R161" s="184"/>
      <c r="S161" s="184"/>
      <c r="T161" s="184"/>
      <c r="U161" s="184"/>
      <c r="V161" s="184"/>
      <c r="W161" s="184"/>
      <c r="X161" s="184"/>
      <c r="Y161" s="184"/>
      <c r="Z161" s="184"/>
      <c r="AA161" s="184"/>
      <c r="AB161" s="193" t="s">
        <v>2556</v>
      </c>
      <c r="AC161" s="194" t="s">
        <v>2557</v>
      </c>
      <c r="AD161" s="184"/>
      <c r="AE161" s="184"/>
      <c r="AF161" s="184"/>
      <c r="AG161" s="184"/>
      <c r="AH161" s="184"/>
      <c r="AI161" s="184"/>
      <c r="AJ161" s="184"/>
      <c r="AK161" s="184"/>
      <c r="AL161" s="184"/>
      <c r="AM161" s="184"/>
      <c r="AN161" s="184"/>
      <c r="AO161" s="184"/>
      <c r="AP161" s="184"/>
      <c r="AQ161" s="184"/>
      <c r="AR161" s="184"/>
      <c r="AS161" s="184"/>
      <c r="AT161" s="184"/>
      <c r="AU161" s="188"/>
    </row>
    <row r="162" spans="7:47" ht="16.5" customHeight="1" x14ac:dyDescent="0.25">
      <c r="G162" s="184">
        <v>132</v>
      </c>
      <c r="H162" s="205"/>
      <c r="I162" s="184"/>
      <c r="J162" s="184"/>
      <c r="K162" s="184"/>
      <c r="L162" s="184"/>
      <c r="M162" s="184"/>
      <c r="N162" s="184"/>
      <c r="O162" s="184"/>
      <c r="P162" s="184"/>
      <c r="Q162" s="184"/>
      <c r="R162" s="184"/>
      <c r="S162" s="184"/>
      <c r="T162" s="184"/>
      <c r="U162" s="184"/>
      <c r="V162" s="184"/>
      <c r="W162" s="184"/>
      <c r="X162" s="184"/>
      <c r="Y162" s="184"/>
      <c r="Z162" s="184"/>
      <c r="AA162" s="184"/>
      <c r="AB162" s="193" t="s">
        <v>2558</v>
      </c>
      <c r="AC162" s="194" t="s">
        <v>2559</v>
      </c>
      <c r="AD162" s="184"/>
      <c r="AE162" s="184"/>
      <c r="AF162" s="184"/>
      <c r="AG162" s="184"/>
      <c r="AH162" s="184"/>
      <c r="AI162" s="184"/>
      <c r="AJ162" s="184"/>
      <c r="AK162" s="184"/>
      <c r="AL162" s="184"/>
      <c r="AM162" s="184"/>
      <c r="AN162" s="184"/>
      <c r="AO162" s="184"/>
      <c r="AP162" s="184"/>
      <c r="AQ162" s="184"/>
      <c r="AR162" s="184"/>
      <c r="AS162" s="184"/>
      <c r="AT162" s="184"/>
      <c r="AU162" s="188"/>
    </row>
    <row r="163" spans="7:47" ht="16.5" customHeight="1" x14ac:dyDescent="0.25">
      <c r="G163" s="184">
        <v>133</v>
      </c>
      <c r="H163" s="205"/>
      <c r="I163" s="184"/>
      <c r="J163" s="184"/>
      <c r="K163" s="184"/>
      <c r="L163" s="184"/>
      <c r="M163" s="184"/>
      <c r="N163" s="184"/>
      <c r="O163" s="184"/>
      <c r="P163" s="184"/>
      <c r="Q163" s="184"/>
      <c r="R163" s="184"/>
      <c r="S163" s="184"/>
      <c r="T163" s="184"/>
      <c r="U163" s="184"/>
      <c r="V163" s="184"/>
      <c r="W163" s="184"/>
      <c r="X163" s="184"/>
      <c r="Y163" s="184"/>
      <c r="Z163" s="184"/>
      <c r="AA163" s="184"/>
      <c r="AB163" s="184"/>
      <c r="AC163" s="184"/>
      <c r="AD163" s="184"/>
      <c r="AE163" s="184"/>
      <c r="AF163" s="184"/>
      <c r="AG163" s="184"/>
      <c r="AH163" s="184"/>
      <c r="AI163" s="184"/>
      <c r="AJ163" s="184"/>
      <c r="AK163" s="184"/>
      <c r="AL163" s="184"/>
      <c r="AM163" s="184"/>
      <c r="AN163" s="184"/>
      <c r="AO163" s="184"/>
      <c r="AP163" s="184"/>
      <c r="AQ163" s="184"/>
      <c r="AR163" s="184"/>
      <c r="AS163" s="184"/>
      <c r="AT163" s="184"/>
      <c r="AU163" s="188"/>
    </row>
    <row r="164" spans="7:47" ht="16.5" customHeight="1" x14ac:dyDescent="0.25">
      <c r="G164" s="184">
        <v>134</v>
      </c>
      <c r="H164" s="205"/>
      <c r="I164" s="184"/>
      <c r="J164" s="184"/>
      <c r="K164" s="184"/>
      <c r="L164" s="184"/>
      <c r="M164" s="184"/>
      <c r="N164" s="184"/>
      <c r="O164" s="184"/>
      <c r="P164" s="184"/>
      <c r="Q164" s="184"/>
      <c r="R164" s="184"/>
      <c r="S164" s="184"/>
      <c r="T164" s="184"/>
      <c r="U164" s="184"/>
      <c r="V164" s="184"/>
      <c r="W164" s="184"/>
      <c r="X164" s="184"/>
      <c r="Y164" s="184"/>
      <c r="Z164" s="184"/>
      <c r="AA164" s="184"/>
      <c r="AB164" s="184"/>
      <c r="AC164" s="184"/>
      <c r="AD164" s="184"/>
      <c r="AE164" s="184"/>
      <c r="AF164" s="184"/>
      <c r="AG164" s="184"/>
      <c r="AH164" s="184"/>
      <c r="AI164" s="184"/>
      <c r="AJ164" s="184"/>
      <c r="AK164" s="184"/>
      <c r="AL164" s="184"/>
      <c r="AM164" s="184"/>
      <c r="AN164" s="184"/>
      <c r="AO164" s="184"/>
      <c r="AP164" s="184"/>
      <c r="AQ164" s="184"/>
      <c r="AR164" s="184"/>
      <c r="AS164" s="184"/>
      <c r="AT164" s="184"/>
      <c r="AU164" s="188"/>
    </row>
    <row r="165" spans="7:47" ht="16.5" customHeight="1" x14ac:dyDescent="0.25">
      <c r="G165" s="184">
        <v>135</v>
      </c>
      <c r="H165" s="205"/>
      <c r="I165" s="184"/>
      <c r="J165" s="184"/>
      <c r="K165" s="184"/>
      <c r="L165" s="184"/>
      <c r="M165" s="184"/>
      <c r="N165" s="184"/>
      <c r="O165" s="184"/>
      <c r="P165" s="184"/>
      <c r="Q165" s="184"/>
      <c r="R165" s="184"/>
      <c r="S165" s="184"/>
      <c r="T165" s="184"/>
      <c r="U165" s="184"/>
      <c r="V165" s="184"/>
      <c r="W165" s="184"/>
      <c r="X165" s="184"/>
      <c r="Y165" s="184"/>
      <c r="Z165" s="184"/>
      <c r="AA165" s="184"/>
      <c r="AB165" s="184"/>
      <c r="AC165" s="184"/>
      <c r="AD165" s="184"/>
      <c r="AE165" s="184"/>
      <c r="AF165" s="184"/>
      <c r="AG165" s="184"/>
      <c r="AH165" s="184"/>
      <c r="AI165" s="184"/>
      <c r="AJ165" s="184"/>
      <c r="AK165" s="184"/>
      <c r="AL165" s="184"/>
      <c r="AM165" s="184"/>
      <c r="AN165" s="184"/>
      <c r="AO165" s="184"/>
      <c r="AP165" s="184"/>
      <c r="AQ165" s="184"/>
      <c r="AR165" s="184"/>
      <c r="AS165" s="184"/>
      <c r="AT165" s="184"/>
      <c r="AU165" s="188"/>
    </row>
    <row r="166" spans="7:47" ht="16.5" customHeight="1" x14ac:dyDescent="0.25">
      <c r="G166" s="184">
        <v>136</v>
      </c>
      <c r="H166" s="205"/>
      <c r="I166" s="184"/>
      <c r="J166" s="184"/>
      <c r="K166" s="184"/>
      <c r="L166" s="184"/>
      <c r="M166" s="184"/>
      <c r="N166" s="184"/>
      <c r="O166" s="184"/>
      <c r="P166" s="184"/>
      <c r="Q166" s="184"/>
      <c r="R166" s="184"/>
      <c r="S166" s="184"/>
      <c r="T166" s="184"/>
      <c r="U166" s="184"/>
      <c r="V166" s="184"/>
      <c r="W166" s="184"/>
      <c r="X166" s="184"/>
      <c r="Y166" s="184"/>
      <c r="Z166" s="184"/>
      <c r="AA166" s="184"/>
      <c r="AB166" s="184"/>
      <c r="AC166" s="184"/>
      <c r="AD166" s="184"/>
      <c r="AE166" s="184"/>
      <c r="AF166" s="184"/>
      <c r="AG166" s="184"/>
      <c r="AH166" s="184"/>
      <c r="AI166" s="184"/>
      <c r="AJ166" s="184"/>
      <c r="AK166" s="184"/>
      <c r="AL166" s="184"/>
      <c r="AM166" s="184"/>
      <c r="AN166" s="184"/>
      <c r="AO166" s="184"/>
      <c r="AP166" s="184"/>
      <c r="AQ166" s="184"/>
      <c r="AR166" s="184"/>
      <c r="AS166" s="184"/>
      <c r="AT166" s="184"/>
      <c r="AU166" s="188"/>
    </row>
    <row r="167" spans="7:47" ht="16.5" customHeight="1" x14ac:dyDescent="0.25">
      <c r="G167" s="184">
        <v>137</v>
      </c>
      <c r="H167" s="205"/>
      <c r="I167" s="184"/>
      <c r="J167" s="184"/>
      <c r="K167" s="184"/>
      <c r="L167" s="184"/>
      <c r="M167" s="184"/>
      <c r="N167" s="184"/>
      <c r="O167" s="184"/>
      <c r="P167" s="184"/>
      <c r="Q167" s="184"/>
      <c r="R167" s="184"/>
      <c r="S167" s="184"/>
      <c r="T167" s="184"/>
      <c r="U167" s="184"/>
      <c r="V167" s="184"/>
      <c r="W167" s="184"/>
      <c r="X167" s="184"/>
      <c r="Y167" s="184"/>
      <c r="Z167" s="184"/>
      <c r="AA167" s="184"/>
      <c r="AB167" s="184"/>
      <c r="AC167" s="184"/>
      <c r="AD167" s="184"/>
      <c r="AE167" s="184"/>
      <c r="AF167" s="184"/>
      <c r="AG167" s="184"/>
      <c r="AH167" s="184"/>
      <c r="AI167" s="184"/>
      <c r="AJ167" s="184"/>
      <c r="AK167" s="184"/>
      <c r="AL167" s="184"/>
      <c r="AM167" s="184"/>
      <c r="AN167" s="184"/>
      <c r="AO167" s="184"/>
      <c r="AP167" s="184"/>
      <c r="AQ167" s="184"/>
      <c r="AR167" s="184"/>
      <c r="AS167" s="184"/>
      <c r="AT167" s="184"/>
      <c r="AU167" s="188"/>
    </row>
    <row r="168" spans="7:47" ht="16.5" customHeight="1" x14ac:dyDescent="0.25">
      <c r="G168" s="184">
        <v>138</v>
      </c>
      <c r="H168" s="205"/>
      <c r="I168" s="184"/>
      <c r="J168" s="184"/>
      <c r="K168" s="184"/>
      <c r="L168" s="184"/>
      <c r="M168" s="184"/>
      <c r="N168" s="184"/>
      <c r="O168" s="184"/>
      <c r="P168" s="184"/>
      <c r="Q168" s="184"/>
      <c r="R168" s="184"/>
      <c r="S168" s="184"/>
      <c r="T168" s="184"/>
      <c r="U168" s="184"/>
      <c r="V168" s="184"/>
      <c r="W168" s="184"/>
      <c r="X168" s="184"/>
      <c r="Y168" s="184"/>
      <c r="Z168" s="184"/>
      <c r="AA168" s="184"/>
      <c r="AB168" s="184"/>
      <c r="AC168" s="184"/>
      <c r="AD168" s="184"/>
      <c r="AE168" s="184"/>
      <c r="AF168" s="184"/>
      <c r="AG168" s="184"/>
      <c r="AH168" s="184"/>
      <c r="AI168" s="184"/>
      <c r="AJ168" s="184"/>
      <c r="AK168" s="184"/>
      <c r="AL168" s="184"/>
      <c r="AM168" s="184"/>
      <c r="AN168" s="184"/>
      <c r="AO168" s="184"/>
      <c r="AP168" s="184"/>
      <c r="AQ168" s="184"/>
      <c r="AR168" s="184"/>
      <c r="AS168" s="184"/>
      <c r="AT168" s="184"/>
      <c r="AU168" s="188"/>
    </row>
    <row r="169" spans="7:47" ht="16.5" customHeight="1" x14ac:dyDescent="0.25">
      <c r="G169" s="184">
        <v>139</v>
      </c>
      <c r="H169" s="205"/>
      <c r="I169" s="184"/>
      <c r="J169" s="184"/>
      <c r="K169" s="184"/>
      <c r="L169" s="184"/>
      <c r="M169" s="184"/>
      <c r="N169" s="184"/>
      <c r="O169" s="184"/>
      <c r="P169" s="184"/>
      <c r="Q169" s="184"/>
      <c r="R169" s="184"/>
      <c r="S169" s="184"/>
      <c r="T169" s="184"/>
      <c r="U169" s="184"/>
      <c r="V169" s="184"/>
      <c r="W169" s="184"/>
      <c r="X169" s="184"/>
      <c r="Y169" s="184"/>
      <c r="Z169" s="184"/>
      <c r="AA169" s="184"/>
      <c r="AB169" s="184"/>
      <c r="AC169" s="184"/>
      <c r="AD169" s="184"/>
      <c r="AE169" s="184"/>
      <c r="AF169" s="184"/>
      <c r="AG169" s="184"/>
      <c r="AH169" s="184"/>
      <c r="AI169" s="184"/>
      <c r="AJ169" s="184"/>
      <c r="AK169" s="184"/>
      <c r="AL169" s="184"/>
      <c r="AM169" s="184"/>
      <c r="AN169" s="184"/>
      <c r="AO169" s="184"/>
      <c r="AP169" s="184"/>
      <c r="AQ169" s="184"/>
      <c r="AR169" s="184"/>
      <c r="AS169" s="184"/>
      <c r="AT169" s="184"/>
      <c r="AU169" s="188"/>
    </row>
    <row r="170" spans="7:47" ht="16.5" customHeight="1" x14ac:dyDescent="0.25">
      <c r="G170" s="184">
        <v>140</v>
      </c>
      <c r="H170" s="205"/>
      <c r="I170" s="184"/>
      <c r="J170" s="184"/>
      <c r="K170" s="184"/>
      <c r="L170" s="184"/>
      <c r="M170" s="184"/>
      <c r="N170" s="184"/>
      <c r="O170" s="184"/>
      <c r="P170" s="184"/>
      <c r="Q170" s="184"/>
      <c r="R170" s="184"/>
      <c r="S170" s="184"/>
      <c r="T170" s="184"/>
      <c r="U170" s="184"/>
      <c r="V170" s="184"/>
      <c r="W170" s="184"/>
      <c r="X170" s="184"/>
      <c r="Y170" s="184"/>
      <c r="Z170" s="184"/>
      <c r="AA170" s="184"/>
      <c r="AB170" s="184"/>
      <c r="AC170" s="184"/>
      <c r="AD170" s="184"/>
      <c r="AE170" s="184"/>
      <c r="AF170" s="184"/>
      <c r="AG170" s="184"/>
      <c r="AH170" s="184"/>
      <c r="AI170" s="184"/>
      <c r="AJ170" s="184"/>
      <c r="AK170" s="184"/>
      <c r="AL170" s="184"/>
      <c r="AM170" s="184"/>
      <c r="AN170" s="184"/>
      <c r="AO170" s="184"/>
      <c r="AP170" s="184"/>
      <c r="AQ170" s="184"/>
      <c r="AR170" s="184"/>
      <c r="AS170" s="184"/>
      <c r="AT170" s="184"/>
      <c r="AU170" s="188"/>
    </row>
    <row r="171" spans="7:47" ht="16.5" customHeight="1" x14ac:dyDescent="0.25">
      <c r="G171" s="184">
        <v>141</v>
      </c>
      <c r="H171" s="205"/>
      <c r="I171" s="184"/>
      <c r="J171" s="184"/>
      <c r="K171" s="184"/>
      <c r="L171" s="184"/>
      <c r="M171" s="184"/>
      <c r="N171" s="184"/>
      <c r="O171" s="184"/>
      <c r="P171" s="184"/>
      <c r="Q171" s="184"/>
      <c r="R171" s="184"/>
      <c r="S171" s="184"/>
      <c r="T171" s="184"/>
      <c r="U171" s="184"/>
      <c r="V171" s="184"/>
      <c r="W171" s="184"/>
      <c r="X171" s="184"/>
      <c r="Y171" s="184"/>
      <c r="Z171" s="184"/>
      <c r="AA171" s="184"/>
      <c r="AB171" s="184"/>
      <c r="AC171" s="184"/>
      <c r="AD171" s="184"/>
      <c r="AE171" s="184"/>
      <c r="AF171" s="184"/>
      <c r="AG171" s="184"/>
      <c r="AH171" s="184"/>
      <c r="AI171" s="184"/>
      <c r="AJ171" s="184"/>
      <c r="AK171" s="184"/>
      <c r="AL171" s="184"/>
      <c r="AM171" s="184"/>
      <c r="AN171" s="184"/>
      <c r="AO171" s="184"/>
      <c r="AP171" s="184"/>
      <c r="AQ171" s="184"/>
      <c r="AR171" s="184"/>
      <c r="AS171" s="184"/>
      <c r="AT171" s="184"/>
      <c r="AU171" s="188"/>
    </row>
    <row r="172" spans="7:47" ht="16.5" customHeight="1" x14ac:dyDescent="0.25">
      <c r="G172" s="184">
        <v>142</v>
      </c>
      <c r="H172" s="205"/>
      <c r="I172" s="184"/>
      <c r="J172" s="184"/>
      <c r="K172" s="184"/>
      <c r="L172" s="184"/>
      <c r="M172" s="184"/>
      <c r="N172" s="184"/>
      <c r="O172" s="184"/>
      <c r="P172" s="184"/>
      <c r="Q172" s="184"/>
      <c r="R172" s="184"/>
      <c r="S172" s="184"/>
      <c r="T172" s="184"/>
      <c r="U172" s="184"/>
      <c r="V172" s="184"/>
      <c r="W172" s="184"/>
      <c r="X172" s="184"/>
      <c r="Y172" s="184"/>
      <c r="Z172" s="184"/>
      <c r="AA172" s="184"/>
      <c r="AB172" s="184"/>
      <c r="AC172" s="184"/>
      <c r="AD172" s="184"/>
      <c r="AE172" s="184"/>
      <c r="AF172" s="184"/>
      <c r="AG172" s="184"/>
      <c r="AH172" s="184"/>
      <c r="AI172" s="184"/>
      <c r="AJ172" s="184"/>
      <c r="AK172" s="184"/>
      <c r="AL172" s="184"/>
      <c r="AM172" s="184"/>
      <c r="AN172" s="184"/>
      <c r="AO172" s="184"/>
      <c r="AP172" s="184"/>
      <c r="AQ172" s="184"/>
      <c r="AR172" s="184"/>
      <c r="AS172" s="184"/>
      <c r="AT172" s="184"/>
      <c r="AU172" s="188"/>
    </row>
    <row r="173" spans="7:47" ht="16.5" customHeight="1" x14ac:dyDescent="0.25">
      <c r="G173" s="184">
        <v>143</v>
      </c>
      <c r="H173" s="205"/>
      <c r="I173" s="184"/>
      <c r="J173" s="184"/>
      <c r="K173" s="184"/>
      <c r="L173" s="184"/>
      <c r="M173" s="184"/>
      <c r="N173" s="184"/>
      <c r="O173" s="184"/>
      <c r="P173" s="184"/>
      <c r="Q173" s="184"/>
      <c r="R173" s="184"/>
      <c r="S173" s="184"/>
      <c r="T173" s="184"/>
      <c r="U173" s="184"/>
      <c r="V173" s="184"/>
      <c r="W173" s="184"/>
      <c r="X173" s="184"/>
      <c r="Y173" s="184"/>
      <c r="Z173" s="184"/>
      <c r="AA173" s="184"/>
      <c r="AB173" s="184"/>
      <c r="AC173" s="184"/>
      <c r="AD173" s="184"/>
      <c r="AE173" s="184"/>
      <c r="AF173" s="184"/>
      <c r="AG173" s="184"/>
      <c r="AH173" s="184"/>
      <c r="AI173" s="184"/>
      <c r="AJ173" s="184"/>
      <c r="AK173" s="184"/>
      <c r="AL173" s="184"/>
      <c r="AM173" s="184"/>
      <c r="AN173" s="184"/>
      <c r="AO173" s="184"/>
      <c r="AP173" s="184"/>
      <c r="AQ173" s="184"/>
      <c r="AR173" s="184"/>
      <c r="AS173" s="184"/>
      <c r="AT173" s="184"/>
      <c r="AU173" s="188"/>
    </row>
    <row r="174" spans="7:47" ht="16.5" customHeight="1" x14ac:dyDescent="0.25">
      <c r="G174" s="184">
        <v>144</v>
      </c>
      <c r="H174" s="205"/>
      <c r="I174" s="184"/>
      <c r="J174" s="184"/>
      <c r="K174" s="184"/>
      <c r="L174" s="184"/>
      <c r="M174" s="184"/>
      <c r="N174" s="184"/>
      <c r="O174" s="184"/>
      <c r="P174" s="184"/>
      <c r="Q174" s="184"/>
      <c r="R174" s="184"/>
      <c r="S174" s="184"/>
      <c r="T174" s="184"/>
      <c r="U174" s="184"/>
      <c r="V174" s="184"/>
      <c r="W174" s="184"/>
      <c r="X174" s="184"/>
      <c r="Y174" s="184"/>
      <c r="Z174" s="184"/>
      <c r="AA174" s="184"/>
      <c r="AB174" s="184"/>
      <c r="AC174" s="184"/>
      <c r="AD174" s="184"/>
      <c r="AE174" s="184"/>
      <c r="AF174" s="184"/>
      <c r="AG174" s="184"/>
      <c r="AH174" s="184"/>
      <c r="AI174" s="184"/>
      <c r="AJ174" s="184"/>
      <c r="AK174" s="184"/>
      <c r="AL174" s="184"/>
      <c r="AM174" s="184"/>
      <c r="AN174" s="184"/>
      <c r="AO174" s="184"/>
      <c r="AP174" s="184"/>
      <c r="AQ174" s="184"/>
      <c r="AR174" s="184"/>
      <c r="AS174" s="184"/>
      <c r="AT174" s="184"/>
      <c r="AU174" s="188"/>
    </row>
    <row r="175" spans="7:47" ht="16.5" customHeight="1" x14ac:dyDescent="0.25">
      <c r="G175" s="184">
        <v>145</v>
      </c>
      <c r="H175" s="205"/>
      <c r="I175" s="184"/>
      <c r="J175" s="184"/>
      <c r="K175" s="184"/>
      <c r="L175" s="184"/>
      <c r="M175" s="184"/>
      <c r="N175" s="184"/>
      <c r="O175" s="184"/>
      <c r="P175" s="184"/>
      <c r="Q175" s="184"/>
      <c r="R175" s="184"/>
      <c r="S175" s="184"/>
      <c r="T175" s="184"/>
      <c r="U175" s="184"/>
      <c r="V175" s="184"/>
      <c r="W175" s="184"/>
      <c r="X175" s="184"/>
      <c r="Y175" s="184"/>
      <c r="Z175" s="184"/>
      <c r="AA175" s="184"/>
      <c r="AB175" s="184"/>
      <c r="AC175" s="184"/>
      <c r="AD175" s="184"/>
      <c r="AE175" s="184"/>
      <c r="AF175" s="184"/>
      <c r="AG175" s="184"/>
      <c r="AH175" s="184"/>
      <c r="AI175" s="184"/>
      <c r="AJ175" s="184"/>
      <c r="AK175" s="184"/>
      <c r="AL175" s="184"/>
      <c r="AM175" s="184"/>
      <c r="AN175" s="184"/>
      <c r="AO175" s="184"/>
      <c r="AP175" s="184"/>
      <c r="AQ175" s="184"/>
      <c r="AR175" s="184"/>
      <c r="AS175" s="184"/>
      <c r="AT175" s="184"/>
      <c r="AU175" s="188"/>
    </row>
    <row r="176" spans="7:47" ht="16.5" customHeight="1" x14ac:dyDescent="0.25">
      <c r="G176" s="184">
        <v>146</v>
      </c>
      <c r="H176" s="205"/>
      <c r="I176" s="184"/>
      <c r="J176" s="184"/>
      <c r="K176" s="184"/>
      <c r="L176" s="184"/>
      <c r="M176" s="184"/>
      <c r="N176" s="184"/>
      <c r="O176" s="184"/>
      <c r="P176" s="184"/>
      <c r="Q176" s="184"/>
      <c r="R176" s="184"/>
      <c r="S176" s="184"/>
      <c r="T176" s="184"/>
      <c r="U176" s="184"/>
      <c r="V176" s="184"/>
      <c r="W176" s="184"/>
      <c r="X176" s="184"/>
      <c r="Y176" s="184"/>
      <c r="Z176" s="184"/>
      <c r="AA176" s="184"/>
      <c r="AB176" s="184"/>
      <c r="AC176" s="184"/>
      <c r="AD176" s="184"/>
      <c r="AE176" s="184"/>
      <c r="AF176" s="184"/>
      <c r="AG176" s="184"/>
      <c r="AH176" s="184"/>
      <c r="AI176" s="184"/>
      <c r="AJ176" s="184"/>
      <c r="AK176" s="184"/>
      <c r="AL176" s="184"/>
      <c r="AM176" s="184"/>
      <c r="AN176" s="184"/>
      <c r="AO176" s="184"/>
      <c r="AP176" s="184"/>
      <c r="AQ176" s="184"/>
      <c r="AR176" s="184"/>
      <c r="AS176" s="184"/>
      <c r="AT176" s="184"/>
      <c r="AU176" s="188"/>
    </row>
    <row r="177" spans="7:47" ht="16.5" customHeight="1" x14ac:dyDescent="0.25">
      <c r="G177" s="184">
        <v>147</v>
      </c>
      <c r="H177" s="205"/>
      <c r="I177" s="184"/>
      <c r="J177" s="184"/>
      <c r="K177" s="184"/>
      <c r="L177" s="184"/>
      <c r="M177" s="184"/>
      <c r="N177" s="184"/>
      <c r="O177" s="184"/>
      <c r="P177" s="184"/>
      <c r="Q177" s="184"/>
      <c r="R177" s="184"/>
      <c r="S177" s="184"/>
      <c r="T177" s="184"/>
      <c r="U177" s="184"/>
      <c r="V177" s="184"/>
      <c r="W177" s="184"/>
      <c r="X177" s="184"/>
      <c r="Y177" s="184"/>
      <c r="Z177" s="184"/>
      <c r="AA177" s="184"/>
      <c r="AB177" s="184"/>
      <c r="AC177" s="184"/>
      <c r="AD177" s="184"/>
      <c r="AE177" s="184"/>
      <c r="AF177" s="184"/>
      <c r="AG177" s="184"/>
      <c r="AH177" s="184"/>
      <c r="AI177" s="184"/>
      <c r="AJ177" s="184"/>
      <c r="AK177" s="184"/>
      <c r="AL177" s="184"/>
      <c r="AM177" s="184"/>
      <c r="AN177" s="184"/>
      <c r="AO177" s="184"/>
      <c r="AP177" s="184"/>
      <c r="AQ177" s="184"/>
      <c r="AR177" s="184"/>
      <c r="AS177" s="184"/>
      <c r="AT177" s="184"/>
      <c r="AU177" s="188"/>
    </row>
    <row r="178" spans="7:47" ht="16.5" customHeight="1" x14ac:dyDescent="0.25">
      <c r="G178" s="184">
        <v>148</v>
      </c>
      <c r="H178" s="205"/>
      <c r="I178" s="184"/>
      <c r="J178" s="184"/>
      <c r="K178" s="184"/>
      <c r="L178" s="184"/>
      <c r="M178" s="184"/>
      <c r="N178" s="184"/>
      <c r="O178" s="184"/>
      <c r="P178" s="184"/>
      <c r="Q178" s="184"/>
      <c r="R178" s="184"/>
      <c r="S178" s="184"/>
      <c r="T178" s="184"/>
      <c r="U178" s="184"/>
      <c r="V178" s="184"/>
      <c r="W178" s="184"/>
      <c r="X178" s="184"/>
      <c r="Y178" s="184"/>
      <c r="Z178" s="184"/>
      <c r="AA178" s="184"/>
      <c r="AB178" s="184"/>
      <c r="AC178" s="184"/>
      <c r="AD178" s="184"/>
      <c r="AE178" s="184"/>
      <c r="AF178" s="184"/>
      <c r="AG178" s="184"/>
      <c r="AH178" s="184"/>
      <c r="AI178" s="184"/>
      <c r="AJ178" s="184"/>
      <c r="AK178" s="184"/>
      <c r="AL178" s="184"/>
      <c r="AM178" s="184"/>
      <c r="AN178" s="184"/>
      <c r="AO178" s="184"/>
      <c r="AP178" s="184"/>
      <c r="AQ178" s="184"/>
      <c r="AR178" s="184"/>
      <c r="AS178" s="184"/>
      <c r="AT178" s="184"/>
      <c r="AU178" s="188"/>
    </row>
    <row r="179" spans="7:47" ht="16.5" customHeight="1" x14ac:dyDescent="0.25">
      <c r="G179" s="184">
        <v>149</v>
      </c>
      <c r="H179" s="205"/>
      <c r="I179" s="184"/>
      <c r="J179" s="184"/>
      <c r="K179" s="184"/>
      <c r="L179" s="184"/>
      <c r="M179" s="184"/>
      <c r="N179" s="184"/>
      <c r="O179" s="184"/>
      <c r="P179" s="184"/>
      <c r="Q179" s="184"/>
      <c r="R179" s="184"/>
      <c r="S179" s="184"/>
      <c r="T179" s="184"/>
      <c r="U179" s="184"/>
      <c r="V179" s="184"/>
      <c r="W179" s="184"/>
      <c r="X179" s="184"/>
      <c r="Y179" s="184"/>
      <c r="Z179" s="184"/>
      <c r="AA179" s="184"/>
      <c r="AB179" s="184"/>
      <c r="AC179" s="184"/>
      <c r="AD179" s="184"/>
      <c r="AE179" s="184"/>
      <c r="AF179" s="184"/>
      <c r="AG179" s="184"/>
      <c r="AH179" s="184"/>
      <c r="AI179" s="184"/>
      <c r="AJ179" s="184"/>
      <c r="AK179" s="184"/>
      <c r="AL179" s="184"/>
      <c r="AM179" s="184"/>
      <c r="AN179" s="184"/>
      <c r="AO179" s="184"/>
      <c r="AP179" s="184"/>
      <c r="AQ179" s="184"/>
      <c r="AR179" s="184"/>
      <c r="AS179" s="184"/>
      <c r="AT179" s="184"/>
      <c r="AU179" s="188"/>
    </row>
    <row r="180" spans="7:47" ht="16.5" customHeight="1" x14ac:dyDescent="0.25">
      <c r="G180" s="184">
        <v>150</v>
      </c>
      <c r="H180" s="208"/>
      <c r="I180" s="209"/>
      <c r="J180" s="209"/>
      <c r="K180" s="209"/>
      <c r="L180" s="209"/>
      <c r="M180" s="209"/>
      <c r="N180" s="209"/>
      <c r="O180" s="209"/>
      <c r="P180" s="209"/>
      <c r="Q180" s="209"/>
      <c r="R180" s="209"/>
      <c r="S180" s="209"/>
      <c r="T180" s="209"/>
      <c r="U180" s="209"/>
      <c r="V180" s="209"/>
      <c r="W180" s="209"/>
      <c r="X180" s="209"/>
      <c r="Y180" s="209"/>
      <c r="Z180" s="209"/>
      <c r="AA180" s="209"/>
      <c r="AB180" s="209"/>
      <c r="AC180" s="209"/>
      <c r="AD180" s="209"/>
      <c r="AE180" s="209"/>
      <c r="AF180" s="209"/>
      <c r="AG180" s="209"/>
      <c r="AH180" s="209"/>
      <c r="AI180" s="209"/>
      <c r="AJ180" s="209"/>
      <c r="AK180" s="209"/>
      <c r="AL180" s="209"/>
      <c r="AM180" s="209"/>
      <c r="AN180" s="209"/>
      <c r="AO180" s="209"/>
      <c r="AP180" s="209"/>
      <c r="AQ180" s="209"/>
      <c r="AR180" s="209"/>
      <c r="AS180" s="209"/>
      <c r="AT180" s="209"/>
      <c r="AU180" s="210"/>
    </row>
    <row r="221" spans="1:5" ht="16.5" customHeight="1" x14ac:dyDescent="0.25">
      <c r="A221" s="211" t="s">
        <v>86</v>
      </c>
      <c r="B221" s="211" t="s">
        <v>2560</v>
      </c>
      <c r="D221" s="129" t="e">
        <f>#REF!</f>
        <v>#REF!</v>
      </c>
      <c r="E221" s="129" t="str">
        <f>IFERROR(VLOOKUP(D221,A222:B311,2,FALSE),"")</f>
        <v/>
      </c>
    </row>
    <row r="222" spans="1:5" ht="16.5" customHeight="1" x14ac:dyDescent="0.25">
      <c r="A222" s="114" t="s">
        <v>2561</v>
      </c>
      <c r="B222" s="114" t="s">
        <v>2562</v>
      </c>
      <c r="D222" s="129" t="e">
        <f>#REF!</f>
        <v>#REF!</v>
      </c>
      <c r="E222" s="129" t="str">
        <f>IFERROR(VLOOKUP(D222,A222:B311,2,FALSE),"")</f>
        <v/>
      </c>
    </row>
    <row r="223" spans="1:5" ht="16.5" customHeight="1" x14ac:dyDescent="0.25">
      <c r="A223" s="114" t="s">
        <v>2563</v>
      </c>
      <c r="B223" s="114" t="s">
        <v>2564</v>
      </c>
      <c r="D223" s="129" t="e">
        <f>#REF!</f>
        <v>#REF!</v>
      </c>
      <c r="E223" s="129" t="str">
        <f>IFERROR(VLOOKUP(D223,A222:B311,2,FALSE),"")</f>
        <v/>
      </c>
    </row>
    <row r="224" spans="1:5" ht="16.5" customHeight="1" x14ac:dyDescent="0.25">
      <c r="A224" s="114" t="s">
        <v>2565</v>
      </c>
      <c r="B224" s="114" t="s">
        <v>2566</v>
      </c>
      <c r="D224" s="129" t="e">
        <f>#REF!</f>
        <v>#REF!</v>
      </c>
      <c r="E224" s="129" t="str">
        <f>IFERROR(VLOOKUP(D224,A222:B311,2,FALSE),"")</f>
        <v/>
      </c>
    </row>
    <row r="225" spans="1:5" ht="16.5" customHeight="1" x14ac:dyDescent="0.25">
      <c r="A225" s="114" t="s">
        <v>2567</v>
      </c>
      <c r="B225" s="114" t="s">
        <v>2568</v>
      </c>
      <c r="D225" s="129" t="e">
        <f>#REF!</f>
        <v>#REF!</v>
      </c>
      <c r="E225" s="129" t="str">
        <f>IFERROR(VLOOKUP(D225,A222:B311,2,FALSE),"")</f>
        <v/>
      </c>
    </row>
    <row r="226" spans="1:5" ht="16.5" customHeight="1" x14ac:dyDescent="0.25">
      <c r="A226" s="114" t="s">
        <v>2569</v>
      </c>
      <c r="B226" s="114" t="s">
        <v>2570</v>
      </c>
      <c r="D226" s="129" t="e">
        <f>#REF!</f>
        <v>#REF!</v>
      </c>
      <c r="E226" s="129" t="str">
        <f>IFERROR(VLOOKUP(D226,A222:B311,2,FALSE),"")</f>
        <v/>
      </c>
    </row>
    <row r="227" spans="1:5" ht="16.5" customHeight="1" x14ac:dyDescent="0.25">
      <c r="A227" s="114" t="s">
        <v>2571</v>
      </c>
      <c r="B227" s="114" t="s">
        <v>2572</v>
      </c>
      <c r="D227" s="129" t="e">
        <f>#REF!</f>
        <v>#REF!</v>
      </c>
      <c r="E227" s="129" t="str">
        <f>IFERROR(VLOOKUP(D227,A222:B311,2,FALSE),"")</f>
        <v/>
      </c>
    </row>
    <row r="228" spans="1:5" ht="16.5" customHeight="1" x14ac:dyDescent="0.25">
      <c r="A228" s="114" t="s">
        <v>2573</v>
      </c>
      <c r="B228" s="114" t="s">
        <v>2574</v>
      </c>
      <c r="D228" s="129" t="e">
        <f>#REF!</f>
        <v>#REF!</v>
      </c>
      <c r="E228" s="129" t="str">
        <f>IFERROR(VLOOKUP(D228,A222:B311,2,FALSE),"")</f>
        <v/>
      </c>
    </row>
    <row r="229" spans="1:5" ht="16.5" customHeight="1" x14ac:dyDescent="0.25">
      <c r="A229" s="114" t="s">
        <v>2575</v>
      </c>
      <c r="B229" s="114" t="s">
        <v>2576</v>
      </c>
      <c r="D229" s="129" t="e">
        <f>#REF!</f>
        <v>#REF!</v>
      </c>
      <c r="E229" s="129" t="str">
        <f>IFERROR(VLOOKUP(D229,A222:B311,2,FALSE),"")</f>
        <v/>
      </c>
    </row>
    <row r="230" spans="1:5" ht="16.5" customHeight="1" x14ac:dyDescent="0.25">
      <c r="A230" s="114" t="s">
        <v>2577</v>
      </c>
      <c r="B230" s="114" t="s">
        <v>2578</v>
      </c>
      <c r="D230" s="129" t="e">
        <f>#REF!</f>
        <v>#REF!</v>
      </c>
      <c r="E230" s="129" t="str">
        <f>IFERROR(VLOOKUP(D230,A222:B311,2,FALSE),"")</f>
        <v/>
      </c>
    </row>
    <row r="231" spans="1:5" ht="16.5" customHeight="1" x14ac:dyDescent="0.25">
      <c r="A231" s="114" t="s">
        <v>2579</v>
      </c>
      <c r="B231" s="114" t="s">
        <v>2580</v>
      </c>
    </row>
    <row r="232" spans="1:5" ht="16.5" customHeight="1" x14ac:dyDescent="0.25">
      <c r="A232" s="114" t="s">
        <v>2581</v>
      </c>
      <c r="B232" s="114" t="s">
        <v>2582</v>
      </c>
    </row>
    <row r="233" spans="1:5" ht="16.5" customHeight="1" x14ac:dyDescent="0.25">
      <c r="A233" s="114" t="s">
        <v>2583</v>
      </c>
      <c r="B233" s="114" t="s">
        <v>2584</v>
      </c>
    </row>
    <row r="234" spans="1:5" ht="16.5" customHeight="1" x14ac:dyDescent="0.25">
      <c r="A234" s="114" t="s">
        <v>2585</v>
      </c>
      <c r="B234" s="114" t="s">
        <v>2586</v>
      </c>
    </row>
    <row r="235" spans="1:5" ht="16.5" customHeight="1" x14ac:dyDescent="0.25">
      <c r="A235" s="114" t="s">
        <v>2587</v>
      </c>
      <c r="B235" s="114" t="s">
        <v>2588</v>
      </c>
    </row>
    <row r="236" spans="1:5" ht="16.5" customHeight="1" x14ac:dyDescent="0.25">
      <c r="A236" s="114" t="s">
        <v>2589</v>
      </c>
      <c r="B236" s="114" t="s">
        <v>2590</v>
      </c>
    </row>
    <row r="237" spans="1:5" ht="16.5" customHeight="1" x14ac:dyDescent="0.25">
      <c r="A237" s="114" t="s">
        <v>2591</v>
      </c>
      <c r="B237" s="114" t="s">
        <v>2592</v>
      </c>
    </row>
    <row r="238" spans="1:5" ht="16.5" customHeight="1" x14ac:dyDescent="0.25">
      <c r="A238" s="114" t="s">
        <v>2593</v>
      </c>
      <c r="B238" s="114" t="s">
        <v>2594</v>
      </c>
    </row>
    <row r="239" spans="1:5" ht="16.5" customHeight="1" x14ac:dyDescent="0.25">
      <c r="A239" s="114" t="s">
        <v>2595</v>
      </c>
      <c r="B239" s="114" t="s">
        <v>2596</v>
      </c>
    </row>
    <row r="240" spans="1:5" ht="16.5" customHeight="1" x14ac:dyDescent="0.25">
      <c r="A240" s="114" t="s">
        <v>2597</v>
      </c>
      <c r="B240" s="114" t="s">
        <v>2598</v>
      </c>
    </row>
    <row r="241" spans="1:2" ht="16.5" customHeight="1" x14ac:dyDescent="0.25">
      <c r="A241" s="114" t="s">
        <v>2599</v>
      </c>
      <c r="B241" s="114" t="s">
        <v>2600</v>
      </c>
    </row>
    <row r="242" spans="1:2" ht="16.5" customHeight="1" x14ac:dyDescent="0.25">
      <c r="A242" s="114" t="s">
        <v>2601</v>
      </c>
      <c r="B242" s="114" t="s">
        <v>2602</v>
      </c>
    </row>
    <row r="243" spans="1:2" ht="16.5" customHeight="1" x14ac:dyDescent="0.25">
      <c r="A243" s="114" t="s">
        <v>2603</v>
      </c>
      <c r="B243" s="114" t="s">
        <v>2604</v>
      </c>
    </row>
    <row r="244" spans="1:2" ht="16.5" customHeight="1" x14ac:dyDescent="0.25">
      <c r="A244" s="114" t="s">
        <v>2605</v>
      </c>
      <c r="B244" s="114" t="s">
        <v>2606</v>
      </c>
    </row>
    <row r="245" spans="1:2" ht="16.5" customHeight="1" x14ac:dyDescent="0.25">
      <c r="A245" s="114" t="s">
        <v>2607</v>
      </c>
      <c r="B245" s="114" t="s">
        <v>2608</v>
      </c>
    </row>
    <row r="246" spans="1:2" ht="16.5" customHeight="1" x14ac:dyDescent="0.25">
      <c r="A246" s="114" t="s">
        <v>2609</v>
      </c>
      <c r="B246" s="114" t="s">
        <v>2610</v>
      </c>
    </row>
    <row r="247" spans="1:2" ht="16.5" customHeight="1" x14ac:dyDescent="0.25">
      <c r="A247" s="114" t="s">
        <v>2611</v>
      </c>
      <c r="B247" s="114" t="s">
        <v>2612</v>
      </c>
    </row>
    <row r="248" spans="1:2" ht="16.5" customHeight="1" x14ac:dyDescent="0.25">
      <c r="A248" s="114" t="s">
        <v>2613</v>
      </c>
      <c r="B248" s="114" t="s">
        <v>2614</v>
      </c>
    </row>
    <row r="249" spans="1:2" ht="16.5" customHeight="1" x14ac:dyDescent="0.25">
      <c r="A249" s="114" t="s">
        <v>2615</v>
      </c>
      <c r="B249" s="114" t="s">
        <v>2616</v>
      </c>
    </row>
    <row r="250" spans="1:2" ht="16.5" customHeight="1" x14ac:dyDescent="0.25">
      <c r="A250" s="114" t="s">
        <v>2617</v>
      </c>
      <c r="B250" s="114" t="s">
        <v>2618</v>
      </c>
    </row>
    <row r="251" spans="1:2" ht="16.5" customHeight="1" x14ac:dyDescent="0.25">
      <c r="A251" s="114" t="s">
        <v>2619</v>
      </c>
      <c r="B251" s="114" t="s">
        <v>2620</v>
      </c>
    </row>
    <row r="252" spans="1:2" ht="16.5" customHeight="1" x14ac:dyDescent="0.25">
      <c r="A252" s="114" t="s">
        <v>2621</v>
      </c>
      <c r="B252" s="114" t="s">
        <v>2622</v>
      </c>
    </row>
    <row r="253" spans="1:2" ht="16.5" customHeight="1" x14ac:dyDescent="0.25">
      <c r="A253" s="114" t="s">
        <v>2623</v>
      </c>
      <c r="B253" s="114" t="s">
        <v>2624</v>
      </c>
    </row>
    <row r="254" spans="1:2" ht="16.5" customHeight="1" x14ac:dyDescent="0.25">
      <c r="A254" s="114" t="s">
        <v>2625</v>
      </c>
      <c r="B254" s="114" t="s">
        <v>2626</v>
      </c>
    </row>
    <row r="255" spans="1:2" ht="16.5" customHeight="1" x14ac:dyDescent="0.25">
      <c r="A255" s="114" t="s">
        <v>93</v>
      </c>
      <c r="B255" s="114" t="s">
        <v>94</v>
      </c>
    </row>
    <row r="256" spans="1:2" ht="16.5" customHeight="1" x14ac:dyDescent="0.25">
      <c r="A256" s="114" t="s">
        <v>2627</v>
      </c>
      <c r="B256" s="114" t="s">
        <v>2628</v>
      </c>
    </row>
    <row r="257" spans="1:2" ht="16.5" customHeight="1" x14ac:dyDescent="0.25">
      <c r="A257" s="114" t="s">
        <v>73</v>
      </c>
      <c r="B257" s="114" t="s">
        <v>2629</v>
      </c>
    </row>
    <row r="258" spans="1:2" ht="16.5" customHeight="1" x14ac:dyDescent="0.25">
      <c r="A258" s="114" t="s">
        <v>2630</v>
      </c>
      <c r="B258" s="114" t="s">
        <v>2631</v>
      </c>
    </row>
    <row r="259" spans="1:2" ht="16.5" customHeight="1" x14ac:dyDescent="0.25">
      <c r="A259" s="114" t="s">
        <v>2632</v>
      </c>
      <c r="B259" s="114" t="s">
        <v>2633</v>
      </c>
    </row>
    <row r="260" spans="1:2" ht="16.5" customHeight="1" x14ac:dyDescent="0.25">
      <c r="A260" s="114" t="s">
        <v>2634</v>
      </c>
      <c r="B260" s="114" t="s">
        <v>2635</v>
      </c>
    </row>
    <row r="261" spans="1:2" ht="16.5" customHeight="1" x14ac:dyDescent="0.25">
      <c r="A261" s="114" t="s">
        <v>2636</v>
      </c>
      <c r="B261" s="114" t="s">
        <v>2637</v>
      </c>
    </row>
    <row r="262" spans="1:2" ht="16.5" customHeight="1" x14ac:dyDescent="0.25">
      <c r="A262" s="114" t="s">
        <v>2638</v>
      </c>
      <c r="B262" s="114" t="s">
        <v>2639</v>
      </c>
    </row>
    <row r="263" spans="1:2" ht="16.5" customHeight="1" x14ac:dyDescent="0.25">
      <c r="A263" s="114" t="s">
        <v>2640</v>
      </c>
      <c r="B263" s="114" t="s">
        <v>2641</v>
      </c>
    </row>
    <row r="264" spans="1:2" ht="16.5" customHeight="1" x14ac:dyDescent="0.25">
      <c r="A264" s="212" t="s">
        <v>2642</v>
      </c>
      <c r="B264" s="212" t="s">
        <v>2643</v>
      </c>
    </row>
    <row r="265" spans="1:2" ht="16.5" customHeight="1" x14ac:dyDescent="0.25">
      <c r="A265" s="212" t="s">
        <v>2644</v>
      </c>
      <c r="B265" s="212" t="s">
        <v>2645</v>
      </c>
    </row>
    <row r="266" spans="1:2" ht="16.5" customHeight="1" x14ac:dyDescent="0.25">
      <c r="A266" s="212" t="s">
        <v>2646</v>
      </c>
      <c r="B266" s="212" t="s">
        <v>2647</v>
      </c>
    </row>
    <row r="267" spans="1:2" ht="16.5" customHeight="1" x14ac:dyDescent="0.25">
      <c r="A267" s="212" t="s">
        <v>2648</v>
      </c>
      <c r="B267" s="212" t="s">
        <v>2649</v>
      </c>
    </row>
    <row r="268" spans="1:2" ht="16.5" customHeight="1" x14ac:dyDescent="0.25">
      <c r="A268" s="212" t="s">
        <v>2650</v>
      </c>
      <c r="B268" s="212" t="s">
        <v>2651</v>
      </c>
    </row>
    <row r="269" spans="1:2" ht="16.5" customHeight="1" x14ac:dyDescent="0.25">
      <c r="A269" s="212" t="s">
        <v>2652</v>
      </c>
      <c r="B269" s="212" t="s">
        <v>2653</v>
      </c>
    </row>
    <row r="270" spans="1:2" ht="16.5" customHeight="1" x14ac:dyDescent="0.25">
      <c r="A270" s="212" t="s">
        <v>2654</v>
      </c>
      <c r="B270" s="212" t="s">
        <v>2655</v>
      </c>
    </row>
    <row r="271" spans="1:2" ht="16.5" customHeight="1" x14ac:dyDescent="0.25">
      <c r="A271" s="212" t="s">
        <v>2656</v>
      </c>
      <c r="B271" s="212" t="s">
        <v>2657</v>
      </c>
    </row>
    <row r="272" spans="1:2" ht="16.5" customHeight="1" x14ac:dyDescent="0.25">
      <c r="A272" s="212" t="s">
        <v>2658</v>
      </c>
      <c r="B272" s="212" t="s">
        <v>2659</v>
      </c>
    </row>
    <row r="273" spans="1:2" ht="16.5" customHeight="1" x14ac:dyDescent="0.25">
      <c r="A273" s="212" t="s">
        <v>2660</v>
      </c>
      <c r="B273" s="212" t="s">
        <v>2661</v>
      </c>
    </row>
    <row r="274" spans="1:2" ht="16.5" customHeight="1" x14ac:dyDescent="0.25">
      <c r="A274" s="212" t="s">
        <v>2662</v>
      </c>
      <c r="B274" s="212" t="s">
        <v>2663</v>
      </c>
    </row>
    <row r="275" spans="1:2" ht="16.5" customHeight="1" x14ac:dyDescent="0.25">
      <c r="A275" s="212" t="s">
        <v>2664</v>
      </c>
      <c r="B275" s="212" t="s">
        <v>2665</v>
      </c>
    </row>
    <row r="276" spans="1:2" ht="16.5" customHeight="1" x14ac:dyDescent="0.25">
      <c r="A276" s="212" t="s">
        <v>2666</v>
      </c>
      <c r="B276" s="212" t="s">
        <v>2667</v>
      </c>
    </row>
    <row r="277" spans="1:2" ht="16.5" customHeight="1" x14ac:dyDescent="0.25">
      <c r="A277" s="212" t="s">
        <v>2668</v>
      </c>
      <c r="B277" s="212" t="s">
        <v>2669</v>
      </c>
    </row>
    <row r="278" spans="1:2" ht="16.5" customHeight="1" x14ac:dyDescent="0.25">
      <c r="A278" s="212" t="s">
        <v>2670</v>
      </c>
      <c r="B278" s="212" t="s">
        <v>2671</v>
      </c>
    </row>
    <row r="279" spans="1:2" ht="16.5" customHeight="1" x14ac:dyDescent="0.25">
      <c r="A279" s="213" t="s">
        <v>2672</v>
      </c>
      <c r="B279" s="213" t="s">
        <v>2673</v>
      </c>
    </row>
    <row r="280" spans="1:2" ht="16.5" customHeight="1" x14ac:dyDescent="0.25">
      <c r="A280" s="213" t="s">
        <v>2674</v>
      </c>
      <c r="B280" s="213" t="s">
        <v>2675</v>
      </c>
    </row>
    <row r="281" spans="1:2" ht="16.5" customHeight="1" x14ac:dyDescent="0.25">
      <c r="A281" s="213" t="s">
        <v>2676</v>
      </c>
      <c r="B281" s="213" t="s">
        <v>2677</v>
      </c>
    </row>
    <row r="282" spans="1:2" ht="16.5" customHeight="1" x14ac:dyDescent="0.25">
      <c r="A282" s="213" t="s">
        <v>2678</v>
      </c>
      <c r="B282" s="213" t="s">
        <v>2679</v>
      </c>
    </row>
    <row r="283" spans="1:2" ht="16.5" customHeight="1" x14ac:dyDescent="0.25">
      <c r="A283" s="213" t="s">
        <v>2680</v>
      </c>
      <c r="B283" s="213" t="s">
        <v>2681</v>
      </c>
    </row>
    <row r="284" spans="1:2" ht="16.5" customHeight="1" x14ac:dyDescent="0.25">
      <c r="A284" s="213" t="s">
        <v>2682</v>
      </c>
      <c r="B284" s="213" t="s">
        <v>2683</v>
      </c>
    </row>
    <row r="285" spans="1:2" ht="16.5" customHeight="1" x14ac:dyDescent="0.25">
      <c r="A285" s="213" t="s">
        <v>2684</v>
      </c>
      <c r="B285" s="213" t="s">
        <v>2685</v>
      </c>
    </row>
    <row r="286" spans="1:2" ht="16.5" customHeight="1" x14ac:dyDescent="0.25">
      <c r="A286" s="213" t="s">
        <v>2686</v>
      </c>
      <c r="B286" s="213" t="s">
        <v>2687</v>
      </c>
    </row>
    <row r="287" spans="1:2" ht="16.5" customHeight="1" x14ac:dyDescent="0.25">
      <c r="A287" s="213" t="s">
        <v>2688</v>
      </c>
      <c r="B287" s="213" t="s">
        <v>2689</v>
      </c>
    </row>
    <row r="288" spans="1:2" ht="16.5" customHeight="1" x14ac:dyDescent="0.25">
      <c r="A288" s="213" t="s">
        <v>2690</v>
      </c>
      <c r="B288" s="213" t="s">
        <v>2691</v>
      </c>
    </row>
    <row r="289" spans="1:2" ht="16.5" customHeight="1" x14ac:dyDescent="0.25">
      <c r="A289" s="213" t="s">
        <v>2692</v>
      </c>
      <c r="B289" s="213" t="s">
        <v>2693</v>
      </c>
    </row>
    <row r="290" spans="1:2" ht="16.5" customHeight="1" x14ac:dyDescent="0.25">
      <c r="A290" s="213" t="s">
        <v>2694</v>
      </c>
      <c r="B290" s="213" t="s">
        <v>2695</v>
      </c>
    </row>
    <row r="291" spans="1:2" ht="16.5" customHeight="1" x14ac:dyDescent="0.25">
      <c r="A291" s="213" t="s">
        <v>2696</v>
      </c>
      <c r="B291" s="213" t="s">
        <v>2697</v>
      </c>
    </row>
    <row r="292" spans="1:2" ht="16.5" customHeight="1" x14ac:dyDescent="0.25">
      <c r="A292" s="213" t="s">
        <v>2698</v>
      </c>
      <c r="B292" s="213" t="s">
        <v>2699</v>
      </c>
    </row>
    <row r="293" spans="1:2" ht="16.5" customHeight="1" x14ac:dyDescent="0.25">
      <c r="A293" s="213" t="s">
        <v>2700</v>
      </c>
      <c r="B293" s="213" t="s">
        <v>2701</v>
      </c>
    </row>
    <row r="294" spans="1:2" ht="16.5" customHeight="1" x14ac:dyDescent="0.25">
      <c r="A294" s="214" t="s">
        <v>2702</v>
      </c>
      <c r="B294" s="214" t="s">
        <v>2703</v>
      </c>
    </row>
    <row r="295" spans="1:2" ht="16.5" customHeight="1" x14ac:dyDescent="0.25">
      <c r="A295" s="114" t="s">
        <v>2704</v>
      </c>
      <c r="B295" s="114" t="s">
        <v>2705</v>
      </c>
    </row>
    <row r="296" spans="1:2" ht="16.5" customHeight="1" x14ac:dyDescent="0.25">
      <c r="A296" s="214" t="s">
        <v>2706</v>
      </c>
      <c r="B296" s="214" t="s">
        <v>2707</v>
      </c>
    </row>
    <row r="297" spans="1:2" ht="16.5" customHeight="1" x14ac:dyDescent="0.25">
      <c r="A297" s="214" t="s">
        <v>2708</v>
      </c>
      <c r="B297" s="214" t="s">
        <v>2709</v>
      </c>
    </row>
    <row r="298" spans="1:2" ht="16.5" customHeight="1" x14ac:dyDescent="0.25">
      <c r="A298" s="215" t="s">
        <v>2710</v>
      </c>
      <c r="B298" s="215" t="s">
        <v>2711</v>
      </c>
    </row>
    <row r="299" spans="1:2" ht="16.5" customHeight="1" x14ac:dyDescent="0.25">
      <c r="A299" s="215" t="s">
        <v>2712</v>
      </c>
      <c r="B299" s="215" t="s">
        <v>2713</v>
      </c>
    </row>
    <row r="300" spans="1:2" ht="16.5" customHeight="1" x14ac:dyDescent="0.25">
      <c r="A300" s="215" t="s">
        <v>2714</v>
      </c>
      <c r="B300" s="215" t="s">
        <v>2715</v>
      </c>
    </row>
    <row r="301" spans="1:2" ht="16.5" customHeight="1" x14ac:dyDescent="0.25">
      <c r="A301" s="216" t="s">
        <v>2716</v>
      </c>
      <c r="B301" s="216" t="s">
        <v>2717</v>
      </c>
    </row>
    <row r="302" spans="1:2" ht="16.5" customHeight="1" x14ac:dyDescent="0.25">
      <c r="A302" s="216" t="s">
        <v>2718</v>
      </c>
      <c r="B302" s="216" t="s">
        <v>2719</v>
      </c>
    </row>
    <row r="303" spans="1:2" ht="16.5" customHeight="1" x14ac:dyDescent="0.25">
      <c r="A303" s="216" t="s">
        <v>2720</v>
      </c>
      <c r="B303" s="216" t="s">
        <v>2721</v>
      </c>
    </row>
    <row r="304" spans="1:2" ht="16.5" customHeight="1" x14ac:dyDescent="0.25">
      <c r="A304" s="216" t="s">
        <v>2722</v>
      </c>
      <c r="B304" s="216" t="s">
        <v>2723</v>
      </c>
    </row>
    <row r="305" spans="1:2" ht="16.5" customHeight="1" x14ac:dyDescent="0.25">
      <c r="A305" s="216" t="s">
        <v>2724</v>
      </c>
      <c r="B305" s="216" t="s">
        <v>2725</v>
      </c>
    </row>
    <row r="306" spans="1:2" ht="16.5" customHeight="1" x14ac:dyDescent="0.25">
      <c r="A306" s="216" t="s">
        <v>2726</v>
      </c>
      <c r="B306" s="216" t="s">
        <v>2727</v>
      </c>
    </row>
    <row r="307" spans="1:2" ht="16.5" customHeight="1" x14ac:dyDescent="0.25">
      <c r="A307" s="216" t="s">
        <v>2728</v>
      </c>
      <c r="B307" s="216" t="s">
        <v>2729</v>
      </c>
    </row>
    <row r="308" spans="1:2" ht="16.5" customHeight="1" x14ac:dyDescent="0.25">
      <c r="A308" s="216" t="s">
        <v>2730</v>
      </c>
      <c r="B308" s="216" t="s">
        <v>2731</v>
      </c>
    </row>
    <row r="309" spans="1:2" ht="16.5" customHeight="1" x14ac:dyDescent="0.25">
      <c r="A309" s="214" t="s">
        <v>2732</v>
      </c>
      <c r="B309" s="214" t="s">
        <v>2733</v>
      </c>
    </row>
    <row r="310" spans="1:2" ht="16.5" customHeight="1" x14ac:dyDescent="0.25">
      <c r="A310" s="214" t="s">
        <v>2734</v>
      </c>
      <c r="B310" s="214" t="s">
        <v>2735</v>
      </c>
    </row>
    <row r="311" spans="1:2" ht="16.5" customHeight="1" x14ac:dyDescent="0.25">
      <c r="A311" s="214"/>
      <c r="B311" s="214"/>
    </row>
  </sheetData>
  <mergeCells count="23">
    <mergeCell ref="AP30:AQ30"/>
    <mergeCell ref="AR30:AS30"/>
    <mergeCell ref="AT30:AU30"/>
    <mergeCell ref="AF30:AG30"/>
    <mergeCell ref="AH30:AI30"/>
    <mergeCell ref="AJ30:AK30"/>
    <mergeCell ref="AL30:AM30"/>
    <mergeCell ref="AN30:AO30"/>
    <mergeCell ref="AC1:AD1"/>
    <mergeCell ref="AC15:AD15"/>
    <mergeCell ref="AC20:AD20"/>
    <mergeCell ref="H30:I30"/>
    <mergeCell ref="J30:K30"/>
    <mergeCell ref="L30:M30"/>
    <mergeCell ref="N30:O30"/>
    <mergeCell ref="P30:Q30"/>
    <mergeCell ref="R30:S30"/>
    <mergeCell ref="T30:U30"/>
    <mergeCell ref="V30:W30"/>
    <mergeCell ref="X30:Y30"/>
    <mergeCell ref="Z30:AA30"/>
    <mergeCell ref="AB30:AC30"/>
    <mergeCell ref="AD30:AE30"/>
  </mergeCells>
  <phoneticPr fontId="44" type="noConversion"/>
  <conditionalFormatting sqref="A29:A153">
    <cfRule type="duplicateValues" dxfId="14" priority="118"/>
  </conditionalFormatting>
  <conditionalFormatting sqref="A154">
    <cfRule type="duplicateValues" dxfId="13" priority="106"/>
  </conditionalFormatting>
  <conditionalFormatting sqref="A155">
    <cfRule type="duplicateValues" dxfId="12" priority="45"/>
  </conditionalFormatting>
  <conditionalFormatting sqref="A156">
    <cfRule type="duplicateValues" dxfId="11" priority="44"/>
  </conditionalFormatting>
  <conditionalFormatting sqref="A157">
    <cfRule type="duplicateValues" dxfId="10" priority="43"/>
  </conditionalFormatting>
  <conditionalFormatting sqref="A158">
    <cfRule type="duplicateValues" dxfId="9" priority="42"/>
  </conditionalFormatting>
  <conditionalFormatting sqref="A159">
    <cfRule type="duplicateValues" dxfId="8" priority="40"/>
  </conditionalFormatting>
  <conditionalFormatting sqref="A160">
    <cfRule type="duplicateValues" dxfId="7" priority="39"/>
  </conditionalFormatting>
  <conditionalFormatting sqref="A161">
    <cfRule type="duplicateValues" dxfId="6" priority="38"/>
  </conditionalFormatting>
  <conditionalFormatting sqref="A162">
    <cfRule type="duplicateValues" dxfId="5" priority="37"/>
  </conditionalFormatting>
  <conditionalFormatting sqref="A188">
    <cfRule type="duplicateValues" dxfId="4" priority="11"/>
  </conditionalFormatting>
  <conditionalFormatting sqref="A189">
    <cfRule type="duplicateValues" dxfId="3" priority="10"/>
  </conditionalFormatting>
  <conditionalFormatting sqref="A190">
    <cfRule type="duplicateValues" dxfId="2" priority="9"/>
  </conditionalFormatting>
  <conditionalFormatting sqref="A191">
    <cfRule type="duplicateValues" dxfId="1" priority="8"/>
  </conditionalFormatting>
  <conditionalFormatting sqref="A192">
    <cfRule type="duplicateValues" dxfId="0" priority="2"/>
  </conditionalFormatting>
  <dataValidations count="1">
    <dataValidation allowBlank="1" showInputMessage="1" sqref="BB30:BB75" xr:uid="{00000000-0002-0000-0300-000000000000}"/>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50"/>
  <sheetViews>
    <sheetView topLeftCell="A4" zoomScale="70" zoomScaleNormal="70" workbookViewId="0">
      <selection activeCell="Y22" sqref="Y22"/>
    </sheetView>
  </sheetViews>
  <sheetFormatPr defaultColWidth="9" defaultRowHeight="16.95" customHeight="1" x14ac:dyDescent="0.25"/>
  <cols>
    <col min="1" max="21" width="9" style="114"/>
    <col min="22" max="22" width="10" style="114" customWidth="1"/>
    <col min="23" max="23" width="9.77734375" style="114" customWidth="1"/>
    <col min="24" max="26" width="9" style="114"/>
    <col min="27" max="27" width="10" style="114" customWidth="1"/>
    <col min="28" max="16384" width="9" style="114"/>
  </cols>
  <sheetData>
    <row r="1" spans="1:28" ht="16.95" customHeight="1" x14ac:dyDescent="0.25">
      <c r="A1" s="280" t="s">
        <v>2736</v>
      </c>
      <c r="B1" s="280"/>
      <c r="C1" s="280"/>
      <c r="D1" s="280"/>
      <c r="E1" s="280"/>
      <c r="F1" s="280"/>
      <c r="G1" s="280"/>
      <c r="J1" s="115" t="s">
        <v>154</v>
      </c>
      <c r="K1" s="115" t="s">
        <v>154</v>
      </c>
      <c r="L1" s="116" t="str">
        <f>""</f>
        <v/>
      </c>
      <c r="M1" s="117"/>
      <c r="N1" s="118" t="s">
        <v>48</v>
      </c>
      <c r="O1" s="118" t="s">
        <v>80</v>
      </c>
      <c r="P1" s="118" t="s">
        <v>2737</v>
      </c>
      <c r="Q1" s="118" t="s">
        <v>111</v>
      </c>
      <c r="R1" s="118" t="s">
        <v>106</v>
      </c>
      <c r="S1" s="118" t="s">
        <v>2738</v>
      </c>
      <c r="T1" s="118" t="s">
        <v>2739</v>
      </c>
      <c r="U1" s="114" t="s">
        <v>2740</v>
      </c>
      <c r="V1" s="114" t="s">
        <v>2741</v>
      </c>
      <c r="W1" s="114" t="s">
        <v>2737</v>
      </c>
      <c r="X1" s="114" t="s">
        <v>111</v>
      </c>
      <c r="Y1" s="119" t="s">
        <v>2742</v>
      </c>
      <c r="Z1" s="273" t="s">
        <v>83</v>
      </c>
      <c r="AA1" s="273"/>
      <c r="AB1" s="114" t="s">
        <v>2743</v>
      </c>
    </row>
    <row r="2" spans="1:28" ht="16.95" customHeight="1" x14ac:dyDescent="0.25">
      <c r="A2" s="251" t="s">
        <v>2744</v>
      </c>
      <c r="B2" s="114" t="s">
        <v>105</v>
      </c>
      <c r="C2" s="114" t="s">
        <v>2738</v>
      </c>
      <c r="D2" s="114" t="s">
        <v>2745</v>
      </c>
      <c r="E2" s="114" t="s">
        <v>87</v>
      </c>
      <c r="F2" s="114" t="s">
        <v>120</v>
      </c>
      <c r="G2" s="114" t="s">
        <v>2746</v>
      </c>
      <c r="J2" s="115" t="s">
        <v>2747</v>
      </c>
      <c r="K2" s="115" t="s">
        <v>2748</v>
      </c>
      <c r="L2" s="117" t="str">
        <f>""</f>
        <v/>
      </c>
      <c r="M2" s="117"/>
      <c r="N2" s="118" t="s">
        <v>154</v>
      </c>
      <c r="O2" s="118" t="s">
        <v>2749</v>
      </c>
      <c r="P2" s="118" t="s">
        <v>2749</v>
      </c>
      <c r="Q2" s="118" t="s">
        <v>2749</v>
      </c>
      <c r="R2" s="118" t="s">
        <v>2749</v>
      </c>
      <c r="S2" s="118" t="s">
        <v>2749</v>
      </c>
      <c r="T2" s="118" t="s">
        <v>2749</v>
      </c>
      <c r="U2" s="114" t="e">
        <f>IF(ISBLANK(#REF!),"-",#REF!)</f>
        <v>#REF!</v>
      </c>
      <c r="V2" s="114" t="e">
        <f>VLOOKUP(U2,N2:P50,2,0)</f>
        <v>#REF!</v>
      </c>
      <c r="W2" s="114" t="e">
        <f>VLOOKUP(U2,N2:P50,3,0)</f>
        <v>#REF!</v>
      </c>
      <c r="X2" s="114" t="e">
        <f>VLOOKUP(U2,N2:Q50,4,0)</f>
        <v>#REF!</v>
      </c>
      <c r="Y2" s="119" t="e">
        <f>IF(U2="-","",CONCATENATE("+",SUM(AA2+IF(#REF!="O",#REF!,0)+#REF!)))</f>
        <v>#REF!</v>
      </c>
      <c r="Z2" s="114" t="e">
        <f>IF(#REF!="默认",VLOOKUP(U2,N2:T50,7,0),#REF!)</f>
        <v>#REF!</v>
      </c>
      <c r="AA2" s="114" t="e">
        <f>IF(U2="-","",VLOOKUP(Z2,#REF!,16,0))</f>
        <v>#REF!</v>
      </c>
      <c r="AB2" s="114" t="e">
        <f>IF(AA2="","",IF(AA2&gt;=0,CONCATENATE("+",AA2),AA2))</f>
        <v>#REF!</v>
      </c>
    </row>
    <row r="3" spans="1:28" ht="16.95" customHeight="1" x14ac:dyDescent="0.25">
      <c r="A3" s="280" t="s">
        <v>697</v>
      </c>
      <c r="B3" s="114" t="s">
        <v>2750</v>
      </c>
      <c r="C3" s="114" t="s">
        <v>209</v>
      </c>
      <c r="D3" s="114" t="s">
        <v>2751</v>
      </c>
      <c r="E3" s="114" t="s">
        <v>2752</v>
      </c>
      <c r="F3" s="114" t="s">
        <v>102</v>
      </c>
      <c r="G3" s="114">
        <v>8</v>
      </c>
      <c r="J3" s="115" t="s">
        <v>2753</v>
      </c>
      <c r="K3" s="115" t="s">
        <v>101</v>
      </c>
      <c r="L3" s="119"/>
      <c r="M3" s="115"/>
      <c r="N3" s="121" t="s">
        <v>2754</v>
      </c>
      <c r="O3" s="122" t="s">
        <v>2749</v>
      </c>
      <c r="P3" s="121">
        <v>1</v>
      </c>
      <c r="Q3" s="121" t="s">
        <v>2755</v>
      </c>
      <c r="R3" s="122" t="s">
        <v>2749</v>
      </c>
      <c r="S3" s="122" t="s">
        <v>2749</v>
      </c>
      <c r="T3" s="122" t="s">
        <v>87</v>
      </c>
      <c r="U3" s="114" t="e">
        <f>IF(ISBLANK(#REF!),"-",#REF!)</f>
        <v>#REF!</v>
      </c>
      <c r="V3" s="114" t="e">
        <f>VLOOKUP(U3,N2:P50,2,0)</f>
        <v>#REF!</v>
      </c>
      <c r="W3" s="114" t="e">
        <f>VLOOKUP(U3,N2:P50,3,0)</f>
        <v>#REF!</v>
      </c>
      <c r="X3" s="114" t="e">
        <f>VLOOKUP(U3,N2:Q50,4,0)</f>
        <v>#REF!</v>
      </c>
      <c r="Y3" s="119" t="e">
        <f>IF(U3="-","",CONCATENATE("+",SUM(AA3+IF(#REF!="O",#REF!,0)+#REF!)))</f>
        <v>#REF!</v>
      </c>
      <c r="Z3" s="114" t="e">
        <f>IF(#REF!="默认",VLOOKUP(U3,N2:T50,7,0),#REF!)</f>
        <v>#REF!</v>
      </c>
      <c r="AA3" s="114" t="e">
        <f>IF(U3="-","",VLOOKUP(Z3,#REF!,16,0))</f>
        <v>#REF!</v>
      </c>
      <c r="AB3" s="114" t="e">
        <f t="shared" ref="AB3:AB6" si="0">IF(AA3="","",IF(AA3&gt;=0,CONCATENATE("+",AA3),AA3))</f>
        <v>#REF!</v>
      </c>
    </row>
    <row r="4" spans="1:28" ht="16.95" customHeight="1" x14ac:dyDescent="0.25">
      <c r="A4" s="280"/>
      <c r="B4" s="114" t="s">
        <v>110</v>
      </c>
      <c r="C4" s="114" t="s">
        <v>201</v>
      </c>
      <c r="D4" s="114" t="s">
        <v>2751</v>
      </c>
      <c r="E4" s="114" t="s">
        <v>2752</v>
      </c>
      <c r="F4" s="114" t="s">
        <v>2752</v>
      </c>
      <c r="G4" s="114">
        <v>10</v>
      </c>
      <c r="J4" s="115" t="s">
        <v>2756</v>
      </c>
      <c r="K4" s="115" t="s">
        <v>2757</v>
      </c>
      <c r="L4" s="119"/>
      <c r="M4" s="282" t="s">
        <v>2758</v>
      </c>
      <c r="N4" s="124" t="s">
        <v>2759</v>
      </c>
      <c r="O4" s="124" t="s">
        <v>2748</v>
      </c>
      <c r="P4" s="124" t="s">
        <v>2760</v>
      </c>
      <c r="Q4" s="124" t="s">
        <v>2755</v>
      </c>
      <c r="R4" s="124" t="s">
        <v>2761</v>
      </c>
      <c r="S4" s="124" t="s">
        <v>2762</v>
      </c>
      <c r="T4" s="123" t="s">
        <v>87</v>
      </c>
      <c r="U4" s="114" t="e">
        <f>IF(ISBLANK(#REF!),"-",#REF!)</f>
        <v>#REF!</v>
      </c>
      <c r="V4" s="114" t="e">
        <f>VLOOKUP(U4,N2:P50,2,0)</f>
        <v>#REF!</v>
      </c>
      <c r="W4" s="114" t="e">
        <f>VLOOKUP(U4,N2:P50,3,0)</f>
        <v>#REF!</v>
      </c>
      <c r="X4" s="114" t="e">
        <f>VLOOKUP(U4,N2:Q50,4,0)</f>
        <v>#REF!</v>
      </c>
      <c r="Y4" s="119" t="e">
        <f>IF(U4="-","",CONCATENATE("+",SUM(AA4+IF(#REF!="O",#REF!,0)+#REF!)))</f>
        <v>#REF!</v>
      </c>
      <c r="Z4" s="114" t="e">
        <f>IF(#REF!="默认",VLOOKUP(U4,N2:T50,7,0),#REF!)</f>
        <v>#REF!</v>
      </c>
      <c r="AA4" s="114" t="e">
        <f>IF(U4="-","",VLOOKUP(Z4,#REF!,16,0))</f>
        <v>#REF!</v>
      </c>
      <c r="AB4" s="114" t="e">
        <f t="shared" si="0"/>
        <v>#REF!</v>
      </c>
    </row>
    <row r="5" spans="1:28" ht="16.95" customHeight="1" x14ac:dyDescent="0.25">
      <c r="A5" s="280"/>
      <c r="B5" s="114" t="s">
        <v>2763</v>
      </c>
      <c r="C5" s="114" t="s">
        <v>2764</v>
      </c>
      <c r="D5" s="114" t="s">
        <v>2765</v>
      </c>
      <c r="E5" s="114" t="s">
        <v>2752</v>
      </c>
      <c r="F5" s="114" t="s">
        <v>2752</v>
      </c>
      <c r="G5" s="114">
        <v>13</v>
      </c>
      <c r="J5" s="115" t="s">
        <v>2766</v>
      </c>
      <c r="K5" s="115" t="s">
        <v>108</v>
      </c>
      <c r="L5" s="119"/>
      <c r="M5" s="282"/>
      <c r="N5" s="124" t="s">
        <v>2767</v>
      </c>
      <c r="O5" s="124" t="s">
        <v>2768</v>
      </c>
      <c r="P5" s="124" t="s">
        <v>2760</v>
      </c>
      <c r="Q5" s="124" t="s">
        <v>2769</v>
      </c>
      <c r="R5" s="124" t="s">
        <v>2770</v>
      </c>
      <c r="S5" s="124" t="s">
        <v>155</v>
      </c>
      <c r="T5" s="123" t="e">
        <f>IF(#REF!&gt;=#REF!,"力量","敏捷")</f>
        <v>#REF!</v>
      </c>
      <c r="U5" s="114" t="e">
        <f>IF(ISBLANK(#REF!),"-",#REF!)</f>
        <v>#REF!</v>
      </c>
      <c r="V5" s="114" t="e">
        <f>VLOOKUP(U5,N2:P50,2,0)</f>
        <v>#REF!</v>
      </c>
      <c r="W5" s="114" t="e">
        <f>VLOOKUP(U5,N2:P50,3,0)</f>
        <v>#REF!</v>
      </c>
      <c r="X5" s="114" t="e">
        <f>VLOOKUP(U5,N2:Q50,4,0)</f>
        <v>#REF!</v>
      </c>
      <c r="Y5" s="119" t="e">
        <f>IF(U5="-","",CONCATENATE("+",SUM(AA5+IF(#REF!="O",#REF!,0)+#REF!)))</f>
        <v>#REF!</v>
      </c>
      <c r="Z5" s="114" t="e">
        <f>IF(#REF!="默认",VLOOKUP(U5,N2:T50,7,0),#REF!)</f>
        <v>#REF!</v>
      </c>
      <c r="AA5" s="114" t="e">
        <f>IF(U5="-","",VLOOKUP(Z5,#REF!,16,0))</f>
        <v>#REF!</v>
      </c>
      <c r="AB5" s="114" t="e">
        <f t="shared" si="0"/>
        <v>#REF!</v>
      </c>
    </row>
    <row r="6" spans="1:28" ht="16.95" customHeight="1" x14ac:dyDescent="0.25">
      <c r="A6" s="280" t="s">
        <v>2771</v>
      </c>
      <c r="B6" s="114" t="s">
        <v>2772</v>
      </c>
      <c r="C6" s="114" t="s">
        <v>201</v>
      </c>
      <c r="D6" s="114" t="s">
        <v>2773</v>
      </c>
      <c r="E6" s="114" t="s">
        <v>2752</v>
      </c>
      <c r="F6" s="114" t="s">
        <v>2752</v>
      </c>
      <c r="G6" s="114">
        <v>12</v>
      </c>
      <c r="J6" s="115" t="s">
        <v>2774</v>
      </c>
      <c r="K6" s="122" t="s">
        <v>2769</v>
      </c>
      <c r="L6" s="119"/>
      <c r="M6" s="282"/>
      <c r="N6" s="124" t="s">
        <v>2775</v>
      </c>
      <c r="O6" s="124" t="s">
        <v>2776</v>
      </c>
      <c r="P6" s="124" t="s">
        <v>578</v>
      </c>
      <c r="Q6" s="124" t="s">
        <v>2755</v>
      </c>
      <c r="R6" s="124" t="s">
        <v>2777</v>
      </c>
      <c r="S6" s="124" t="s">
        <v>2778</v>
      </c>
      <c r="T6" s="123" t="s">
        <v>87</v>
      </c>
      <c r="U6" s="114" t="e">
        <f>IF(ISBLANK(#REF!),"-",#REF!)</f>
        <v>#REF!</v>
      </c>
      <c r="V6" s="114" t="e">
        <f>VLOOKUP(U6,N2:P50,2,0)</f>
        <v>#REF!</v>
      </c>
      <c r="W6" s="114" t="e">
        <f>VLOOKUP(U6,N2:P50,3,0)</f>
        <v>#REF!</v>
      </c>
      <c r="X6" s="114" t="e">
        <f>VLOOKUP(U6,N2:Q50,4,0)</f>
        <v>#REF!</v>
      </c>
      <c r="Y6" s="119" t="e">
        <f>IF(U6="-","",CONCATENATE("+",SUM(AA6+IF(#REF!="O",#REF!,0)+#REF!)))</f>
        <v>#REF!</v>
      </c>
      <c r="Z6" s="114" t="e">
        <f>IF(#REF!="默认",VLOOKUP(U6,N2:T50,7,0),#REF!)</f>
        <v>#REF!</v>
      </c>
      <c r="AA6" s="114" t="e">
        <f>IF(U6="-","",VLOOKUP(Z6,#REF!,16,0))</f>
        <v>#REF!</v>
      </c>
      <c r="AB6" s="114" t="e">
        <f t="shared" si="0"/>
        <v>#REF!</v>
      </c>
    </row>
    <row r="7" spans="1:28" ht="16.95" customHeight="1" x14ac:dyDescent="0.25">
      <c r="A7" s="280"/>
      <c r="B7" s="114" t="s">
        <v>2779</v>
      </c>
      <c r="C7" s="114" t="s">
        <v>166</v>
      </c>
      <c r="D7" s="114" t="s">
        <v>2780</v>
      </c>
      <c r="E7" s="114" t="s">
        <v>2752</v>
      </c>
      <c r="F7" s="114" t="s">
        <v>2752</v>
      </c>
      <c r="G7" s="114">
        <v>20</v>
      </c>
      <c r="J7" s="122" t="s">
        <v>2781</v>
      </c>
      <c r="K7" s="122" t="s">
        <v>2782</v>
      </c>
      <c r="L7" s="119"/>
      <c r="M7" s="282"/>
      <c r="N7" s="124" t="s">
        <v>121</v>
      </c>
      <c r="O7" s="124" t="s">
        <v>122</v>
      </c>
      <c r="P7" s="124" t="s">
        <v>559</v>
      </c>
      <c r="Q7" s="124" t="s">
        <v>2782</v>
      </c>
      <c r="R7" s="124" t="s">
        <v>2761</v>
      </c>
      <c r="S7" s="124" t="s">
        <v>209</v>
      </c>
      <c r="T7" s="123" t="s">
        <v>87</v>
      </c>
      <c r="Y7" s="119"/>
    </row>
    <row r="8" spans="1:28" ht="16.95" customHeight="1" x14ac:dyDescent="0.25">
      <c r="A8" s="280"/>
      <c r="B8" s="114" t="s">
        <v>2783</v>
      </c>
      <c r="C8" s="114" t="s">
        <v>166</v>
      </c>
      <c r="D8" s="114" t="s">
        <v>2784</v>
      </c>
      <c r="E8" s="114" t="s">
        <v>2752</v>
      </c>
      <c r="F8" s="114" t="s">
        <v>102</v>
      </c>
      <c r="G8" s="114">
        <v>45</v>
      </c>
      <c r="J8" s="122" t="s">
        <v>2785</v>
      </c>
      <c r="K8" s="122" t="s">
        <v>2755</v>
      </c>
      <c r="L8" s="119"/>
      <c r="M8" s="282"/>
      <c r="N8" s="124" t="s">
        <v>2786</v>
      </c>
      <c r="O8" s="124" t="s">
        <v>2787</v>
      </c>
      <c r="P8" s="124" t="s">
        <v>559</v>
      </c>
      <c r="Q8" s="124" t="s">
        <v>2769</v>
      </c>
      <c r="R8" s="124" t="s">
        <v>2761</v>
      </c>
      <c r="S8" s="124" t="s">
        <v>2788</v>
      </c>
      <c r="T8" s="123" t="s">
        <v>87</v>
      </c>
      <c r="V8" s="119"/>
    </row>
    <row r="9" spans="1:28" ht="16.95" customHeight="1" x14ac:dyDescent="0.25">
      <c r="A9" s="280"/>
      <c r="B9" s="114" t="s">
        <v>2789</v>
      </c>
      <c r="C9" s="114" t="s">
        <v>2790</v>
      </c>
      <c r="D9" s="114" t="s">
        <v>2784</v>
      </c>
      <c r="E9" s="114" t="s">
        <v>2752</v>
      </c>
      <c r="F9" s="114" t="s">
        <v>2752</v>
      </c>
      <c r="G9" s="114">
        <v>20</v>
      </c>
      <c r="J9" s="122" t="s">
        <v>2791</v>
      </c>
      <c r="K9" s="122" t="s">
        <v>2792</v>
      </c>
      <c r="L9" s="119"/>
      <c r="M9" s="282"/>
      <c r="N9" s="124" t="s">
        <v>2793</v>
      </c>
      <c r="O9" s="124" t="s">
        <v>122</v>
      </c>
      <c r="P9" s="124" t="s">
        <v>2760</v>
      </c>
      <c r="Q9" s="124" t="s">
        <v>2755</v>
      </c>
      <c r="R9" s="124" t="s">
        <v>2761</v>
      </c>
      <c r="S9" s="124" t="s">
        <v>155</v>
      </c>
      <c r="T9" s="123" t="s">
        <v>87</v>
      </c>
      <c r="V9" s="119"/>
    </row>
    <row r="10" spans="1:28" ht="16.95" customHeight="1" x14ac:dyDescent="0.25">
      <c r="A10" s="280"/>
      <c r="B10" s="114" t="s">
        <v>2794</v>
      </c>
      <c r="C10" s="114" t="s">
        <v>2795</v>
      </c>
      <c r="D10" s="114" t="s">
        <v>2796</v>
      </c>
      <c r="E10" s="114" t="s">
        <v>2752</v>
      </c>
      <c r="F10" s="114" t="s">
        <v>102</v>
      </c>
      <c r="G10" s="114">
        <v>40</v>
      </c>
      <c r="J10" s="122" t="s">
        <v>2797</v>
      </c>
      <c r="K10" s="122" t="s">
        <v>2798</v>
      </c>
      <c r="L10" s="119"/>
      <c r="M10" s="282"/>
      <c r="N10" s="124" t="s">
        <v>2799</v>
      </c>
      <c r="O10" s="124" t="s">
        <v>154</v>
      </c>
      <c r="P10" s="124" t="s">
        <v>559</v>
      </c>
      <c r="Q10" s="124" t="s">
        <v>2755</v>
      </c>
      <c r="R10" s="124" t="s">
        <v>2800</v>
      </c>
      <c r="S10" s="124" t="s">
        <v>209</v>
      </c>
      <c r="T10" s="123" t="s">
        <v>87</v>
      </c>
      <c r="V10" s="119"/>
    </row>
    <row r="11" spans="1:28" ht="16.95" customHeight="1" x14ac:dyDescent="0.25">
      <c r="A11" s="280" t="s">
        <v>2801</v>
      </c>
      <c r="B11" s="114" t="s">
        <v>2802</v>
      </c>
      <c r="C11" s="114" t="s">
        <v>460</v>
      </c>
      <c r="D11" s="114">
        <v>14</v>
      </c>
      <c r="E11" s="114" t="s">
        <v>2752</v>
      </c>
      <c r="F11" s="114" t="s">
        <v>102</v>
      </c>
      <c r="G11" s="114">
        <v>40</v>
      </c>
      <c r="J11" s="122" t="s">
        <v>2803</v>
      </c>
      <c r="K11" s="122" t="s">
        <v>2804</v>
      </c>
      <c r="L11" s="119"/>
      <c r="M11" s="282"/>
      <c r="N11" s="124" t="s">
        <v>2805</v>
      </c>
      <c r="O11" s="124" t="s">
        <v>2806</v>
      </c>
      <c r="P11" s="124" t="s">
        <v>559</v>
      </c>
      <c r="Q11" s="124" t="s">
        <v>2755</v>
      </c>
      <c r="R11" s="124" t="s">
        <v>2800</v>
      </c>
      <c r="S11" s="124" t="s">
        <v>2778</v>
      </c>
      <c r="T11" s="123" t="s">
        <v>87</v>
      </c>
      <c r="U11" s="119" t="s">
        <v>2807</v>
      </c>
      <c r="V11" s="119" t="s">
        <v>2808</v>
      </c>
      <c r="Y11" s="119"/>
    </row>
    <row r="12" spans="1:28" ht="16.95" customHeight="1" x14ac:dyDescent="0.25">
      <c r="A12" s="280"/>
      <c r="B12" s="114" t="s">
        <v>2809</v>
      </c>
      <c r="C12" s="114" t="s">
        <v>2810</v>
      </c>
      <c r="D12" s="114">
        <v>16</v>
      </c>
      <c r="E12" s="114" t="s">
        <v>2811</v>
      </c>
      <c r="F12" s="114" t="s">
        <v>102</v>
      </c>
      <c r="G12" s="114">
        <v>55</v>
      </c>
      <c r="J12" s="122" t="s">
        <v>2812</v>
      </c>
      <c r="K12" s="122" t="s">
        <v>2813</v>
      </c>
      <c r="L12" s="119"/>
      <c r="M12" s="282"/>
      <c r="N12" s="124" t="s">
        <v>2814</v>
      </c>
      <c r="O12" s="124" t="s">
        <v>2748</v>
      </c>
      <c r="P12" s="124" t="s">
        <v>2760</v>
      </c>
      <c r="Q12" s="124" t="s">
        <v>2782</v>
      </c>
      <c r="R12" s="124" t="s">
        <v>2761</v>
      </c>
      <c r="S12" s="124" t="s">
        <v>170</v>
      </c>
      <c r="T12" s="123" t="s">
        <v>87</v>
      </c>
      <c r="U12" s="115" t="str">
        <f>IFERROR(CONCATENATE(IF(#REF!=TRUE,IF(#REF!&lt;&gt;0,#REF!,0)+#REF!,IF(#REF!&lt;&gt;0,#REF!,"")),IF(VLOOKUP(VLOOKUP(#REF!,装备!N1:T50,7,FALSE),#REF!,7,FALSE)&lt;0,"",(IF(#REF!=TRUE,"+",IF(#REF!&lt;&gt;0,"+","")))),VLOOKUP(VLOOKUP(#REF!,装备!N1:T50,7,FALSE),#REF!,16,FALSE)),"")</f>
        <v/>
      </c>
      <c r="V12" s="115" t="str">
        <f>IFERROR(IF(#REF!="","",CONCATENATE(IF(VLOOKUP(VLOOKUP(#REF!,装备!N1:T50,7,FALSE),#REF!,7,FALSE)&lt;0,"","+"),VLOOKUP(VLOOKUP(#REF!,装备!N1:T50,7,FALSE),#REF!,16,FALSE))),"")</f>
        <v/>
      </c>
      <c r="Y12" s="119"/>
    </row>
    <row r="13" spans="1:28" ht="16.95" customHeight="1" x14ac:dyDescent="0.25">
      <c r="A13" s="280"/>
      <c r="B13" s="114" t="s">
        <v>2815</v>
      </c>
      <c r="C13" s="114" t="s">
        <v>2816</v>
      </c>
      <c r="D13" s="114">
        <v>17</v>
      </c>
      <c r="E13" s="114" t="s">
        <v>2817</v>
      </c>
      <c r="F13" s="114" t="s">
        <v>102</v>
      </c>
      <c r="G13" s="114">
        <v>60</v>
      </c>
      <c r="J13" s="125" t="s">
        <v>2818</v>
      </c>
      <c r="K13" s="122" t="s">
        <v>2819</v>
      </c>
      <c r="L13" s="126" t="s">
        <v>154</v>
      </c>
      <c r="M13" s="282"/>
      <c r="N13" s="124" t="s">
        <v>2820</v>
      </c>
      <c r="O13" s="124" t="s">
        <v>2821</v>
      </c>
      <c r="P13" s="124" t="s">
        <v>559</v>
      </c>
      <c r="Q13" s="124" t="s">
        <v>2769</v>
      </c>
      <c r="R13" s="124" t="s">
        <v>2822</v>
      </c>
      <c r="S13" s="124" t="s">
        <v>170</v>
      </c>
      <c r="T13" s="123" t="s">
        <v>87</v>
      </c>
      <c r="U13" s="115" t="str">
        <f>IFERROR(CONCATENATE(IF(#REF!=TRUE,IF(#REF!&lt;&gt;0,#REF!,0)+#REF!,IF(#REF!&lt;&gt;0,#REF!,"")),IF(VLOOKUP(VLOOKUP(#REF!,装备!N1:T50,7,FALSE),#REF!,7,FALSE)&lt;0,"",(IF(#REF!=TRUE,"+",IF(#REF!&lt;&gt;0,"+","")))),VLOOKUP(VLOOKUP(#REF!,装备!N1:T50,7,FALSE),#REF!,16,FALSE)),"")</f>
        <v/>
      </c>
      <c r="V13" s="115" t="str">
        <f>IFERROR(IF(#REF!="","",CONCATENATE(IF(VLOOKUP(VLOOKUP(#REF!,装备!N1:T50,7,FALSE),#REF!,7,FALSE)&lt;0,"","+"),VLOOKUP(VLOOKUP(#REF!,装备!N1:T50,7,FALSE),#REF!,16,FALSE))),"")</f>
        <v/>
      </c>
      <c r="Y13" s="119"/>
    </row>
    <row r="14" spans="1:28" ht="16.95" customHeight="1" x14ac:dyDescent="0.25">
      <c r="A14" s="280"/>
      <c r="B14" s="114" t="s">
        <v>2823</v>
      </c>
      <c r="C14" s="114" t="s">
        <v>2824</v>
      </c>
      <c r="D14" s="114">
        <v>18</v>
      </c>
      <c r="E14" s="114" t="s">
        <v>2817</v>
      </c>
      <c r="F14" s="114" t="s">
        <v>102</v>
      </c>
      <c r="G14" s="114">
        <v>65</v>
      </c>
      <c r="J14" s="125" t="s">
        <v>2825</v>
      </c>
      <c r="K14" s="122" t="s">
        <v>2826</v>
      </c>
      <c r="L14" s="126" t="s">
        <v>2827</v>
      </c>
      <c r="M14" s="283" t="s">
        <v>2828</v>
      </c>
      <c r="N14" s="128" t="s">
        <v>2829</v>
      </c>
      <c r="O14" s="128" t="s">
        <v>2830</v>
      </c>
      <c r="P14" s="128" t="s">
        <v>578</v>
      </c>
      <c r="Q14" s="128" t="s">
        <v>2769</v>
      </c>
      <c r="R14" s="128" t="s">
        <v>2831</v>
      </c>
      <c r="S14" s="128" t="s">
        <v>161</v>
      </c>
      <c r="T14" s="127" t="s">
        <v>90</v>
      </c>
      <c r="U14" s="115" t="str">
        <f>IFERROR(CONCATENATE(IF(#REF!=TRUE,IF(#REF!&lt;&gt;0,#REF!,0)+#REF!,IF(#REF!&lt;&gt;0,#REF!,"")),IF(VLOOKUP(VLOOKUP(#REF!,装备!N1:T50,7,FALSE),#REF!,7,FALSE)&lt;0,"",(IF(#REF!=TRUE,"+",IF(#REF!&lt;&gt;0,"+","")))),VLOOKUP(VLOOKUP(#REF!,装备!N1:T50,7,FALSE),#REF!,16,FALSE)),"")</f>
        <v/>
      </c>
      <c r="V14" s="115" t="str">
        <f>IFERROR(IF(#REF!="","",CONCATENATE(IF(VLOOKUP(VLOOKUP(#REF!,装备!N1:T50,7,FALSE),#REF!,7,FALSE)&lt;0,"","+"),VLOOKUP(VLOOKUP(#REF!,装备!N1:T50,7,FALSE),#REF!,16,FALSE))),"")</f>
        <v/>
      </c>
      <c r="Y14" s="119"/>
    </row>
    <row r="15" spans="1:28" ht="16.95" customHeight="1" x14ac:dyDescent="0.25">
      <c r="A15" s="114" t="s">
        <v>108</v>
      </c>
      <c r="B15" s="114" t="s">
        <v>108</v>
      </c>
      <c r="C15" s="114" t="s">
        <v>201</v>
      </c>
      <c r="D15" s="114">
        <v>2</v>
      </c>
      <c r="E15" s="114" t="s">
        <v>2752</v>
      </c>
      <c r="F15" s="114" t="s">
        <v>2752</v>
      </c>
      <c r="G15" s="114">
        <v>6</v>
      </c>
      <c r="J15" s="125" t="s">
        <v>2832</v>
      </c>
      <c r="K15" s="122" t="s">
        <v>2833</v>
      </c>
      <c r="L15" s="119"/>
      <c r="M15" s="283"/>
      <c r="N15" s="128" t="s">
        <v>2834</v>
      </c>
      <c r="O15" s="128" t="s">
        <v>2835</v>
      </c>
      <c r="P15" s="128" t="s">
        <v>2760</v>
      </c>
      <c r="Q15" s="128" t="s">
        <v>2769</v>
      </c>
      <c r="R15" s="128" t="s">
        <v>2836</v>
      </c>
      <c r="S15" s="128" t="s">
        <v>2837</v>
      </c>
      <c r="T15" s="127" t="e">
        <f>IF(#REF!&gt;=#REF!,"力量","敏捷")</f>
        <v>#REF!</v>
      </c>
      <c r="U15" s="115" t="str">
        <f>IFERROR(CONCATENATE(IF(#REF!=TRUE,IF(#REF!&lt;&gt;0,#REF!,0)+#REF!,IF(#REF!&lt;&gt;0,#REF!,"")),IF(VLOOKUP(VLOOKUP(#REF!,装备!N1:T50,7,FALSE),#REF!,7,FALSE)&lt;0,"",(IF(#REF!=TRUE,"+",IF(#REF!&lt;&gt;0,"+","")))),VLOOKUP(VLOOKUP(#REF!,装备!N1:T50,7,FALSE),#REF!,16,FALSE)),"")</f>
        <v/>
      </c>
      <c r="V15" s="115" t="str">
        <f>IFERROR(IF(#REF!="","",CONCATENATE(IF(VLOOKUP(VLOOKUP(#REF!,装备!N1:T50,7,FALSE),#REF!,7,FALSE)&lt;0,"","+"),VLOOKUP(VLOOKUP(#REF!,装备!N1:T50,7,FALSE),#REF!,16,FALSE))),"")</f>
        <v/>
      </c>
      <c r="Y15" s="119"/>
    </row>
    <row r="16" spans="1:28" ht="16.95" customHeight="1" x14ac:dyDescent="0.25">
      <c r="J16" s="125" t="s">
        <v>2838</v>
      </c>
      <c r="K16" s="122" t="s">
        <v>2839</v>
      </c>
      <c r="L16" s="119"/>
      <c r="M16" s="283"/>
      <c r="N16" s="128" t="s">
        <v>2840</v>
      </c>
      <c r="O16" s="128" t="s">
        <v>2841</v>
      </c>
      <c r="P16" s="128" t="s">
        <v>559</v>
      </c>
      <c r="Q16" s="128" t="s">
        <v>2769</v>
      </c>
      <c r="R16" s="128" t="s">
        <v>2761</v>
      </c>
      <c r="S16" s="128" t="s">
        <v>161</v>
      </c>
      <c r="T16" s="127" t="s">
        <v>90</v>
      </c>
      <c r="U16" s="115" t="str">
        <f>IFERROR(CONCATENATE(IF(#REF!=TRUE,IF(#REF!&lt;&gt;0,#REF!,0)+#REF!,IF(#REF!&lt;&gt;0,#REF!,"")),IF(VLOOKUP(VLOOKUP(#REF!,装备!N1:T50,7,FALSE),#REF!,7,FALSE)&lt;0,"",(IF(#REF!=TRUE,"+",IF(#REF!&lt;&gt;0,"+","")))),VLOOKUP(VLOOKUP(#REF!,装备!N1:T50,7,FALSE),#REF!,16,FALSE)),"")</f>
        <v/>
      </c>
      <c r="V16" s="115" t="str">
        <f>IFERROR(IF(#REF!="","",CONCATENATE(IF(VLOOKUP(VLOOKUP(#REF!,装备!N1:T50,7,FALSE),#REF!,7,FALSE)&lt;0,"","+"),VLOOKUP(VLOOKUP(#REF!,装备!N1:T50,7,FALSE),#REF!,16,FALSE))),"")</f>
        <v/>
      </c>
      <c r="Y16" s="119"/>
      <c r="Z16" s="119"/>
      <c r="AA16" s="119"/>
    </row>
    <row r="17" spans="1:28" ht="16.95" customHeight="1" x14ac:dyDescent="0.25">
      <c r="A17" s="281" t="s">
        <v>2842</v>
      </c>
      <c r="B17" s="281"/>
      <c r="C17" s="129" t="s">
        <v>2843</v>
      </c>
      <c r="D17" s="129" t="s">
        <v>2844</v>
      </c>
      <c r="E17" s="114" t="s">
        <v>2845</v>
      </c>
      <c r="F17" s="114">
        <f>SUM(F18:F22)</f>
        <v>0</v>
      </c>
      <c r="J17" s="125" t="s">
        <v>2846</v>
      </c>
      <c r="K17" s="122" t="s">
        <v>2847</v>
      </c>
      <c r="L17" s="119"/>
      <c r="M17" s="283"/>
      <c r="N17" s="128" t="s">
        <v>2848</v>
      </c>
      <c r="O17" s="128" t="s">
        <v>2849</v>
      </c>
      <c r="P17" s="128" t="s">
        <v>2760</v>
      </c>
      <c r="Q17" s="128" t="s">
        <v>2755</v>
      </c>
      <c r="R17" s="128" t="s">
        <v>154</v>
      </c>
      <c r="S17" s="128" t="s">
        <v>2762</v>
      </c>
      <c r="T17" s="127" t="s">
        <v>90</v>
      </c>
      <c r="Y17" s="119"/>
      <c r="Z17" s="119"/>
      <c r="AA17" s="119"/>
    </row>
    <row r="18" spans="1:28" ht="16.95" customHeight="1" x14ac:dyDescent="0.25">
      <c r="A18" s="129" t="s">
        <v>115</v>
      </c>
      <c r="B18" s="129" t="s">
        <v>2850</v>
      </c>
      <c r="C18" s="129">
        <v>1</v>
      </c>
      <c r="D18" s="114">
        <v>20</v>
      </c>
      <c r="E18" s="114">
        <f>IFERROR(INT(#REF!/D18),0)</f>
        <v>0</v>
      </c>
      <c r="F18" s="129">
        <f>INT(C18*E18)</f>
        <v>0</v>
      </c>
      <c r="J18" s="125" t="s">
        <v>2851</v>
      </c>
      <c r="K18" s="122" t="s">
        <v>2852</v>
      </c>
      <c r="L18" s="119"/>
      <c r="M18" s="284" t="s">
        <v>2853</v>
      </c>
      <c r="N18" s="124" t="s">
        <v>2854</v>
      </c>
      <c r="O18" s="124" t="s">
        <v>118</v>
      </c>
      <c r="P18" s="124" t="s">
        <v>578</v>
      </c>
      <c r="Q18" s="124" t="s">
        <v>2782</v>
      </c>
      <c r="R18" s="124" t="s">
        <v>2800</v>
      </c>
      <c r="S18" s="124" t="s">
        <v>201</v>
      </c>
      <c r="T18" s="123" t="s">
        <v>87</v>
      </c>
      <c r="U18" s="130" t="s">
        <v>108</v>
      </c>
      <c r="Y18" s="119"/>
      <c r="Z18" s="119"/>
      <c r="AA18" s="119"/>
    </row>
    <row r="19" spans="1:28" ht="16.95" customHeight="1" x14ac:dyDescent="0.25">
      <c r="A19" s="129" t="s">
        <v>119</v>
      </c>
      <c r="B19" s="129" t="s">
        <v>2855</v>
      </c>
      <c r="C19" s="129">
        <v>0.5</v>
      </c>
      <c r="D19" s="114">
        <v>20</v>
      </c>
      <c r="E19" s="114">
        <f>IFERROR(INT(#REF!/D19),0)</f>
        <v>0</v>
      </c>
      <c r="F19" s="129">
        <f>INT(C19*E19)</f>
        <v>0</v>
      </c>
      <c r="J19" s="122" t="s">
        <v>2856</v>
      </c>
      <c r="K19" s="119"/>
      <c r="L19" s="119"/>
      <c r="M19" s="285"/>
      <c r="N19" s="124" t="s">
        <v>2857</v>
      </c>
      <c r="O19" s="124" t="s">
        <v>154</v>
      </c>
      <c r="P19" s="124" t="s">
        <v>578</v>
      </c>
      <c r="Q19" s="124" t="s">
        <v>2755</v>
      </c>
      <c r="R19" s="124" t="s">
        <v>2761</v>
      </c>
      <c r="S19" s="124" t="s">
        <v>201</v>
      </c>
      <c r="T19" s="123" t="s">
        <v>87</v>
      </c>
      <c r="U19" s="130" t="b">
        <v>0</v>
      </c>
      <c r="Y19" s="119"/>
      <c r="Z19" s="119"/>
      <c r="AA19" s="119"/>
    </row>
    <row r="20" spans="1:28" ht="16.95" customHeight="1" x14ac:dyDescent="0.25">
      <c r="A20" s="129" t="s">
        <v>123</v>
      </c>
      <c r="B20" s="129" t="s">
        <v>189</v>
      </c>
      <c r="C20" s="129"/>
      <c r="E20" s="114">
        <f>IFERROR(INT(#REF!/D20),0)</f>
        <v>0</v>
      </c>
      <c r="F20" s="129">
        <f>INT(C20*E20)</f>
        <v>0</v>
      </c>
      <c r="J20" s="122" t="s">
        <v>2858</v>
      </c>
      <c r="K20" s="119"/>
      <c r="L20" s="119"/>
      <c r="M20" s="285"/>
      <c r="N20" s="124" t="s">
        <v>2859</v>
      </c>
      <c r="O20" s="124" t="s">
        <v>2860</v>
      </c>
      <c r="P20" s="124" t="s">
        <v>649</v>
      </c>
      <c r="Q20" s="124" t="s">
        <v>2782</v>
      </c>
      <c r="R20" s="124" t="s">
        <v>2861</v>
      </c>
      <c r="S20" s="124" t="s">
        <v>204</v>
      </c>
      <c r="T20" s="123" t="s">
        <v>87</v>
      </c>
      <c r="U20" s="123" t="s">
        <v>2862</v>
      </c>
      <c r="V20" s="123" t="s">
        <v>99</v>
      </c>
      <c r="W20" s="129" t="s">
        <v>107</v>
      </c>
      <c r="X20" s="129" t="s">
        <v>80</v>
      </c>
      <c r="Y20" s="114" t="s">
        <v>2863</v>
      </c>
      <c r="Z20" s="114" t="s">
        <v>99</v>
      </c>
      <c r="AA20" s="119" t="s">
        <v>107</v>
      </c>
      <c r="AB20" s="119" t="s">
        <v>80</v>
      </c>
    </row>
    <row r="21" spans="1:28" ht="16.95" customHeight="1" x14ac:dyDescent="0.25">
      <c r="A21" s="129" t="s">
        <v>124</v>
      </c>
      <c r="B21" s="129" t="s">
        <v>2864</v>
      </c>
      <c r="C21" s="129">
        <v>0.5</v>
      </c>
      <c r="D21" s="114">
        <v>20</v>
      </c>
      <c r="E21" s="114">
        <f>IFERROR(INT(#REF!/D21),0)</f>
        <v>0</v>
      </c>
      <c r="F21" s="129">
        <f>INT(C21*E21)</f>
        <v>0</v>
      </c>
      <c r="J21" s="122" t="s">
        <v>2776</v>
      </c>
      <c r="K21" s="119"/>
      <c r="L21" s="119"/>
      <c r="M21" s="285"/>
      <c r="N21" s="124" t="s">
        <v>2865</v>
      </c>
      <c r="O21" s="124" t="s">
        <v>2866</v>
      </c>
      <c r="P21" s="124" t="s">
        <v>681</v>
      </c>
      <c r="Q21" s="124" t="s">
        <v>2782</v>
      </c>
      <c r="R21" s="124" t="s">
        <v>2867</v>
      </c>
      <c r="S21" s="124" t="s">
        <v>460</v>
      </c>
      <c r="T21" s="123" t="s">
        <v>87</v>
      </c>
      <c r="U21" s="123" t="s">
        <v>154</v>
      </c>
      <c r="V21" s="123">
        <v>10</v>
      </c>
      <c r="W21" s="129" t="e">
        <f>#REF!</f>
        <v>#REF!</v>
      </c>
      <c r="X21" s="129"/>
      <c r="Y21" s="114" t="e">
        <f>IF(ISBLANK(#REF!),"-",#REF!)</f>
        <v>#REF!</v>
      </c>
      <c r="Z21" s="114" t="e">
        <f>VLOOKUP(Y21,U21:W40,2,0)</f>
        <v>#REF!</v>
      </c>
      <c r="AA21" s="119" t="e">
        <f>VLOOKUP(Y21,U21:W40,3,0)</f>
        <v>#REF!</v>
      </c>
      <c r="AB21" s="119" t="e">
        <f>IF(VLOOKUP(Y21,U21:X40,4,0)="","",VLOOKUP(Y21,U21:X40,4,0))</f>
        <v>#REF!</v>
      </c>
    </row>
    <row r="22" spans="1:28" ht="16.95" customHeight="1" x14ac:dyDescent="0.25">
      <c r="A22" s="129" t="s">
        <v>126</v>
      </c>
      <c r="B22" s="129" t="s">
        <v>2868</v>
      </c>
      <c r="C22" s="129">
        <v>1</v>
      </c>
      <c r="D22" s="114">
        <v>50</v>
      </c>
      <c r="E22" s="114">
        <f>IFERROR(INT(#REF!/D22),0)</f>
        <v>0</v>
      </c>
      <c r="F22" s="129">
        <f>INT(C22*E22)</f>
        <v>0</v>
      </c>
      <c r="J22" s="122" t="s">
        <v>2869</v>
      </c>
      <c r="K22" s="119"/>
      <c r="L22" s="119"/>
      <c r="M22" s="285"/>
      <c r="N22" s="124" t="s">
        <v>2870</v>
      </c>
      <c r="O22" s="124" t="s">
        <v>2866</v>
      </c>
      <c r="P22" s="124" t="s">
        <v>2871</v>
      </c>
      <c r="Q22" s="124" t="s">
        <v>2782</v>
      </c>
      <c r="R22" s="124" t="s">
        <v>2861</v>
      </c>
      <c r="S22" s="124" t="s">
        <v>166</v>
      </c>
      <c r="T22" s="123" t="s">
        <v>87</v>
      </c>
      <c r="U22" s="129" t="s">
        <v>2872</v>
      </c>
      <c r="V22" s="129">
        <v>13</v>
      </c>
      <c r="W22" s="129" t="e">
        <f>#REF!</f>
        <v>#REF!</v>
      </c>
      <c r="X22" s="129"/>
      <c r="Z22" s="119"/>
      <c r="AA22" s="119"/>
      <c r="AB22" s="119"/>
    </row>
    <row r="23" spans="1:28" ht="16.95" customHeight="1" x14ac:dyDescent="0.25">
      <c r="J23" s="122" t="s">
        <v>2873</v>
      </c>
      <c r="K23" s="119"/>
      <c r="L23" s="119"/>
      <c r="M23" s="285"/>
      <c r="N23" s="124" t="s">
        <v>2874</v>
      </c>
      <c r="O23" s="124" t="s">
        <v>2860</v>
      </c>
      <c r="P23" s="124" t="s">
        <v>649</v>
      </c>
      <c r="Q23" s="124" t="s">
        <v>2782</v>
      </c>
      <c r="R23" s="124" t="s">
        <v>2861</v>
      </c>
      <c r="S23" s="124" t="s">
        <v>204</v>
      </c>
      <c r="T23" s="123" t="s">
        <v>87</v>
      </c>
      <c r="U23" s="129" t="s">
        <v>609</v>
      </c>
      <c r="V23" s="129" t="e">
        <f>10+#REF!</f>
        <v>#REF!</v>
      </c>
      <c r="W23" s="129" t="e">
        <f>#REF!</f>
        <v>#REF!</v>
      </c>
      <c r="X23" s="129" t="s">
        <v>2875</v>
      </c>
      <c r="Z23" s="119"/>
      <c r="AA23" s="119"/>
      <c r="AB23" s="119"/>
    </row>
    <row r="24" spans="1:28" ht="16.95" customHeight="1" x14ac:dyDescent="0.25">
      <c r="J24" s="122" t="s">
        <v>2876</v>
      </c>
      <c r="K24" s="119"/>
      <c r="L24" s="119"/>
      <c r="M24" s="285"/>
      <c r="N24" s="124" t="s">
        <v>2877</v>
      </c>
      <c r="O24" s="124" t="s">
        <v>2878</v>
      </c>
      <c r="P24" s="124" t="s">
        <v>681</v>
      </c>
      <c r="Q24" s="124" t="s">
        <v>2769</v>
      </c>
      <c r="R24" s="124" t="s">
        <v>2861</v>
      </c>
      <c r="S24" s="124" t="s">
        <v>201</v>
      </c>
      <c r="T24" s="123" t="s">
        <v>87</v>
      </c>
      <c r="U24" s="129" t="s">
        <v>2879</v>
      </c>
      <c r="V24" s="129" t="e">
        <f>10+#REF!</f>
        <v>#REF!</v>
      </c>
      <c r="W24" s="129" t="e">
        <f>#REF!</f>
        <v>#REF!</v>
      </c>
      <c r="X24" s="129" t="s">
        <v>2880</v>
      </c>
      <c r="Z24" s="119"/>
      <c r="AA24" s="119"/>
      <c r="AB24" s="119"/>
    </row>
    <row r="25" spans="1:28" ht="16.95" customHeight="1" x14ac:dyDescent="0.25">
      <c r="J25" s="115" t="s">
        <v>2881</v>
      </c>
      <c r="K25" s="119"/>
      <c r="L25" s="119"/>
      <c r="M25" s="285"/>
      <c r="N25" s="124" t="s">
        <v>117</v>
      </c>
      <c r="O25" s="124" t="s">
        <v>118</v>
      </c>
      <c r="P25" s="124" t="s">
        <v>578</v>
      </c>
      <c r="Q25" s="124" t="s">
        <v>2782</v>
      </c>
      <c r="R25" s="124" t="s">
        <v>2822</v>
      </c>
      <c r="S25" s="124" t="s">
        <v>325</v>
      </c>
      <c r="T25" s="123" t="s">
        <v>87</v>
      </c>
      <c r="U25" s="129" t="s">
        <v>2882</v>
      </c>
      <c r="V25" s="129" t="e">
        <f>10+#REF!</f>
        <v>#REF!</v>
      </c>
      <c r="W25" s="129" t="e">
        <f>#REF!</f>
        <v>#REF!</v>
      </c>
      <c r="X25" s="129" t="s">
        <v>2883</v>
      </c>
      <c r="Z25" s="119"/>
      <c r="AA25" s="119"/>
      <c r="AB25" s="119"/>
    </row>
    <row r="26" spans="1:28" ht="16.95" customHeight="1" x14ac:dyDescent="0.25">
      <c r="J26" s="119"/>
      <c r="K26" s="119"/>
      <c r="L26" s="119"/>
      <c r="M26" s="285"/>
      <c r="N26" s="124" t="s">
        <v>2884</v>
      </c>
      <c r="O26" s="124" t="s">
        <v>2866</v>
      </c>
      <c r="P26" s="124" t="s">
        <v>2871</v>
      </c>
      <c r="Q26" s="124" t="s">
        <v>2755</v>
      </c>
      <c r="R26" s="124" t="s">
        <v>2777</v>
      </c>
      <c r="S26" s="124" t="s">
        <v>201</v>
      </c>
      <c r="T26" s="123" t="s">
        <v>87</v>
      </c>
      <c r="U26" s="129" t="s">
        <v>2885</v>
      </c>
      <c r="V26" s="129">
        <v>10</v>
      </c>
      <c r="W26" s="129" t="e">
        <f>#REF!</f>
        <v>#REF!</v>
      </c>
      <c r="X26" s="129"/>
      <c r="Z26" s="119"/>
      <c r="AA26" s="119"/>
      <c r="AB26" s="119"/>
    </row>
    <row r="27" spans="1:28" ht="16.95" customHeight="1" x14ac:dyDescent="0.25">
      <c r="J27" s="122" t="s">
        <v>2886</v>
      </c>
      <c r="K27" s="122"/>
      <c r="L27" s="126"/>
      <c r="M27" s="285"/>
      <c r="N27" s="124" t="s">
        <v>2887</v>
      </c>
      <c r="O27" s="124" t="s">
        <v>154</v>
      </c>
      <c r="P27" s="124" t="s">
        <v>578</v>
      </c>
      <c r="Q27" s="124" t="s">
        <v>2769</v>
      </c>
      <c r="R27" s="124" t="s">
        <v>2800</v>
      </c>
      <c r="S27" s="124" t="s">
        <v>325</v>
      </c>
      <c r="T27" s="123" t="s">
        <v>87</v>
      </c>
      <c r="U27" s="123" t="s">
        <v>2750</v>
      </c>
      <c r="V27" s="123">
        <v>11</v>
      </c>
      <c r="W27" s="129" t="e">
        <f>#REF!</f>
        <v>#REF!</v>
      </c>
      <c r="X27" s="129" t="s">
        <v>2888</v>
      </c>
      <c r="Z27" s="119"/>
      <c r="AA27" s="119"/>
      <c r="AB27" s="119"/>
    </row>
    <row r="28" spans="1:28" ht="16.95" customHeight="1" x14ac:dyDescent="0.25">
      <c r="J28" s="122" t="s">
        <v>2748</v>
      </c>
      <c r="K28" s="122"/>
      <c r="L28" s="126" t="e">
        <f>#REF!</f>
        <v>#REF!</v>
      </c>
      <c r="M28" s="285"/>
      <c r="N28" s="124" t="s">
        <v>2889</v>
      </c>
      <c r="O28" s="124" t="s">
        <v>2860</v>
      </c>
      <c r="P28" s="124" t="s">
        <v>649</v>
      </c>
      <c r="Q28" s="124" t="s">
        <v>2769</v>
      </c>
      <c r="R28" s="124" t="s">
        <v>2890</v>
      </c>
      <c r="S28" s="124" t="s">
        <v>209</v>
      </c>
      <c r="T28" s="123" t="s">
        <v>87</v>
      </c>
      <c r="U28" s="123" t="s">
        <v>110</v>
      </c>
      <c r="V28" s="123">
        <v>11</v>
      </c>
      <c r="W28" s="129" t="e">
        <f>#REF!</f>
        <v>#REF!</v>
      </c>
      <c r="X28" s="129"/>
      <c r="Z28" s="119"/>
      <c r="AA28" s="119"/>
      <c r="AB28" s="119"/>
    </row>
    <row r="29" spans="1:28" ht="16.95" customHeight="1" x14ac:dyDescent="0.25">
      <c r="J29" s="122" t="s">
        <v>101</v>
      </c>
      <c r="K29" s="122">
        <v>2</v>
      </c>
      <c r="L29" s="126" t="e">
        <f>IF(#REF!&gt;=K29,K29,#REF!)</f>
        <v>#REF!</v>
      </c>
      <c r="M29" s="285"/>
      <c r="N29" s="124" t="s">
        <v>2891</v>
      </c>
      <c r="O29" s="124" t="s">
        <v>2892</v>
      </c>
      <c r="P29" s="124" t="s">
        <v>578</v>
      </c>
      <c r="Q29" s="124" t="s">
        <v>2769</v>
      </c>
      <c r="R29" s="124" t="s">
        <v>2761</v>
      </c>
      <c r="S29" s="124" t="s">
        <v>161</v>
      </c>
      <c r="T29" s="123" t="e">
        <f>IF(#REF!&gt;=#REF!,"力量","敏捷")</f>
        <v>#REF!</v>
      </c>
      <c r="U29" s="123" t="s">
        <v>2763</v>
      </c>
      <c r="V29" s="123">
        <v>12</v>
      </c>
      <c r="W29" s="129" t="e">
        <f>#REF!</f>
        <v>#REF!</v>
      </c>
      <c r="X29" s="129"/>
      <c r="Z29" s="119"/>
      <c r="AA29" s="119"/>
      <c r="AB29" s="119"/>
    </row>
    <row r="30" spans="1:28" ht="16.95" customHeight="1" x14ac:dyDescent="0.25">
      <c r="J30" s="122" t="s">
        <v>2757</v>
      </c>
      <c r="K30" s="122">
        <v>0</v>
      </c>
      <c r="L30" s="126">
        <v>0</v>
      </c>
      <c r="M30" s="285"/>
      <c r="N30" s="124" t="s">
        <v>2893</v>
      </c>
      <c r="O30" s="124" t="s">
        <v>2894</v>
      </c>
      <c r="P30" s="124" t="s">
        <v>559</v>
      </c>
      <c r="Q30" s="124" t="s">
        <v>2782</v>
      </c>
      <c r="R30" s="124" t="s">
        <v>2822</v>
      </c>
      <c r="S30" s="124" t="s">
        <v>161</v>
      </c>
      <c r="T30" s="123" t="e">
        <f>IF(#REF!&gt;=#REF!,"力量","敏捷")</f>
        <v>#REF!</v>
      </c>
      <c r="U30" s="129" t="s">
        <v>513</v>
      </c>
      <c r="V30" s="129">
        <v>10</v>
      </c>
      <c r="W30" s="129" t="e">
        <f>#REF!</f>
        <v>#REF!</v>
      </c>
      <c r="X30" s="129"/>
      <c r="Z30" s="119"/>
      <c r="AA30" s="119"/>
      <c r="AB30" s="119"/>
    </row>
    <row r="31" spans="1:28" ht="16.95" customHeight="1" x14ac:dyDescent="0.25">
      <c r="J31" s="119"/>
      <c r="K31" s="119"/>
      <c r="L31" s="119"/>
      <c r="M31" s="285"/>
      <c r="N31" s="124" t="s">
        <v>2895</v>
      </c>
      <c r="O31" s="124" t="s">
        <v>2894</v>
      </c>
      <c r="P31" s="124" t="s">
        <v>559</v>
      </c>
      <c r="Q31" s="124" t="s">
        <v>2769</v>
      </c>
      <c r="R31" s="124" t="s">
        <v>2761</v>
      </c>
      <c r="S31" s="124" t="s">
        <v>201</v>
      </c>
      <c r="T31" s="123" t="e">
        <f>IF(#REF!&gt;=#REF!,"力量","敏捷")</f>
        <v>#REF!</v>
      </c>
      <c r="U31" s="123" t="s">
        <v>2772</v>
      </c>
      <c r="V31" s="123">
        <v>12</v>
      </c>
      <c r="W31" s="129" t="e">
        <f>IF(#REF!&gt;=2,2,#REF!)</f>
        <v>#REF!</v>
      </c>
      <c r="X31" s="129"/>
      <c r="Z31" s="119"/>
      <c r="AA31" s="119"/>
      <c r="AB31" s="119"/>
    </row>
    <row r="32" spans="1:28" ht="16.95" customHeight="1" x14ac:dyDescent="0.25">
      <c r="I32" s="129" t="s">
        <v>2886</v>
      </c>
      <c r="J32" s="115" t="s">
        <v>2748</v>
      </c>
      <c r="K32" s="115" t="s">
        <v>101</v>
      </c>
      <c r="L32" s="115" t="s">
        <v>2757</v>
      </c>
      <c r="M32" s="285"/>
      <c r="N32" s="124" t="s">
        <v>2896</v>
      </c>
      <c r="O32" s="124" t="s">
        <v>2821</v>
      </c>
      <c r="P32" s="124" t="s">
        <v>559</v>
      </c>
      <c r="Q32" s="124" t="s">
        <v>2769</v>
      </c>
      <c r="R32" s="124" t="s">
        <v>2800</v>
      </c>
      <c r="S32" s="124" t="s">
        <v>209</v>
      </c>
      <c r="T32" s="123" t="s">
        <v>87</v>
      </c>
      <c r="U32" s="123" t="s">
        <v>2779</v>
      </c>
      <c r="V32" s="123">
        <v>13</v>
      </c>
      <c r="W32" s="129" t="e">
        <f>IF(#REF!&gt;=2,2,#REF!)</f>
        <v>#REF!</v>
      </c>
      <c r="X32" s="129"/>
      <c r="Z32" s="119"/>
      <c r="AA32" s="119"/>
      <c r="AB32" s="119"/>
    </row>
    <row r="33" spans="9:28" ht="16.95" customHeight="1" x14ac:dyDescent="0.25">
      <c r="I33" s="129" t="s">
        <v>2872</v>
      </c>
      <c r="J33" s="115" t="s">
        <v>2750</v>
      </c>
      <c r="K33" s="115" t="s">
        <v>2772</v>
      </c>
      <c r="L33" s="115" t="s">
        <v>2802</v>
      </c>
      <c r="M33" s="285"/>
      <c r="N33" s="124" t="s">
        <v>2897</v>
      </c>
      <c r="O33" s="124" t="s">
        <v>154</v>
      </c>
      <c r="P33" s="124" t="s">
        <v>578</v>
      </c>
      <c r="Q33" s="124" t="s">
        <v>2769</v>
      </c>
      <c r="R33" s="124">
        <v>2</v>
      </c>
      <c r="S33" s="124" t="s">
        <v>209</v>
      </c>
      <c r="T33" s="123" t="s">
        <v>87</v>
      </c>
      <c r="U33" s="123" t="s">
        <v>2783</v>
      </c>
      <c r="V33" s="123">
        <v>14</v>
      </c>
      <c r="W33" s="129" t="e">
        <f>IF(#REF!&gt;=2,2,#REF!)</f>
        <v>#REF!</v>
      </c>
      <c r="X33" s="129" t="s">
        <v>2888</v>
      </c>
      <c r="Z33" s="119"/>
      <c r="AA33" s="119"/>
      <c r="AB33" s="119"/>
    </row>
    <row r="34" spans="9:28" ht="16.95" customHeight="1" x14ac:dyDescent="0.25">
      <c r="I34" s="129" t="s">
        <v>2898</v>
      </c>
      <c r="J34" s="115" t="s">
        <v>110</v>
      </c>
      <c r="K34" s="115" t="s">
        <v>2779</v>
      </c>
      <c r="L34" s="115" t="s">
        <v>2809</v>
      </c>
      <c r="M34" s="285"/>
      <c r="N34" s="124" t="s">
        <v>2899</v>
      </c>
      <c r="O34" s="124" t="s">
        <v>118</v>
      </c>
      <c r="P34" s="124" t="s">
        <v>578</v>
      </c>
      <c r="Q34" s="124" t="s">
        <v>2755</v>
      </c>
      <c r="R34" s="124" t="s">
        <v>2761</v>
      </c>
      <c r="S34" s="124" t="s">
        <v>325</v>
      </c>
      <c r="T34" s="123" t="s">
        <v>87</v>
      </c>
      <c r="U34" s="123" t="s">
        <v>2789</v>
      </c>
      <c r="V34" s="123">
        <v>14</v>
      </c>
      <c r="W34" s="129" t="e">
        <f>IF(#REF!&gt;=2,2,#REF!)</f>
        <v>#REF!</v>
      </c>
      <c r="X34" s="129"/>
      <c r="Y34" s="119"/>
      <c r="Z34" s="119"/>
    </row>
    <row r="35" spans="9:28" ht="16.95" customHeight="1" x14ac:dyDescent="0.25">
      <c r="I35" s="129" t="s">
        <v>2900</v>
      </c>
      <c r="J35" s="115" t="s">
        <v>2763</v>
      </c>
      <c r="K35" s="115" t="s">
        <v>2783</v>
      </c>
      <c r="L35" s="115" t="s">
        <v>2815</v>
      </c>
      <c r="M35" s="285"/>
      <c r="N35" s="124" t="s">
        <v>2901</v>
      </c>
      <c r="O35" s="124" t="s">
        <v>2902</v>
      </c>
      <c r="P35" s="124" t="s">
        <v>2760</v>
      </c>
      <c r="Q35" s="124" t="s">
        <v>2782</v>
      </c>
      <c r="R35" s="124" t="s">
        <v>2822</v>
      </c>
      <c r="S35" s="124" t="s">
        <v>155</v>
      </c>
      <c r="T35" s="123" t="e">
        <f>IF(#REF!&gt;=#REF!,"力量","敏捷")</f>
        <v>#REF!</v>
      </c>
      <c r="U35" s="123" t="s">
        <v>2794</v>
      </c>
      <c r="V35" s="123">
        <v>15</v>
      </c>
      <c r="W35" s="129" t="e">
        <f>IF(#REF!&gt;=2,2,#REF!)</f>
        <v>#REF!</v>
      </c>
      <c r="X35" s="129" t="s">
        <v>2888</v>
      </c>
      <c r="Z35" s="119"/>
      <c r="AA35" s="119"/>
      <c r="AB35" s="119"/>
    </row>
    <row r="36" spans="9:28" ht="16.95" customHeight="1" x14ac:dyDescent="0.25">
      <c r="I36" s="129"/>
      <c r="J36" s="115"/>
      <c r="K36" s="115" t="s">
        <v>2789</v>
      </c>
      <c r="L36" s="115" t="s">
        <v>2823</v>
      </c>
      <c r="M36" s="283" t="s">
        <v>2903</v>
      </c>
      <c r="N36" s="128" t="s">
        <v>2904</v>
      </c>
      <c r="O36" s="128" t="s">
        <v>2905</v>
      </c>
      <c r="P36" s="128">
        <v>1</v>
      </c>
      <c r="Q36" s="128" t="s">
        <v>2769</v>
      </c>
      <c r="R36" s="128" t="s">
        <v>2770</v>
      </c>
      <c r="S36" s="128" t="s">
        <v>201</v>
      </c>
      <c r="T36" s="127" t="s">
        <v>90</v>
      </c>
      <c r="U36" s="129" t="s">
        <v>2906</v>
      </c>
      <c r="V36" s="129">
        <v>10</v>
      </c>
      <c r="W36" s="129" t="e">
        <f>#REF!</f>
        <v>#REF!</v>
      </c>
      <c r="X36" s="129"/>
      <c r="Z36" s="119"/>
      <c r="AA36" s="119"/>
      <c r="AB36" s="119"/>
    </row>
    <row r="37" spans="9:28" ht="16.95" customHeight="1" x14ac:dyDescent="0.25">
      <c r="I37" s="129"/>
      <c r="J37" s="115"/>
      <c r="K37" s="115" t="s">
        <v>2794</v>
      </c>
      <c r="L37" s="115"/>
      <c r="M37" s="283"/>
      <c r="N37" s="128" t="s">
        <v>2907</v>
      </c>
      <c r="O37" s="128" t="s">
        <v>2908</v>
      </c>
      <c r="P37" s="128" t="s">
        <v>559</v>
      </c>
      <c r="Q37" s="128" t="s">
        <v>2769</v>
      </c>
      <c r="R37" s="128" t="s">
        <v>2822</v>
      </c>
      <c r="S37" s="128" t="s">
        <v>2810</v>
      </c>
      <c r="T37" s="127" t="s">
        <v>90</v>
      </c>
      <c r="U37" s="123" t="s">
        <v>2802</v>
      </c>
      <c r="V37" s="123">
        <v>14</v>
      </c>
      <c r="W37" s="129">
        <v>0</v>
      </c>
      <c r="X37" s="129" t="s">
        <v>2888</v>
      </c>
      <c r="Z37" s="119"/>
      <c r="AA37" s="119"/>
      <c r="AB37" s="119"/>
    </row>
    <row r="38" spans="9:28" ht="16.95" customHeight="1" x14ac:dyDescent="0.25">
      <c r="J38" s="131" t="str">
        <f>IFERROR(VLOOKUP(#REF!,装备!U21:V40,5,FALSE),"")</f>
        <v/>
      </c>
      <c r="K38" s="119" t="str">
        <f>IFERROR(VLOOKUP(#REF!,装备!U21:V40,2,FALSE),"")</f>
        <v/>
      </c>
      <c r="L38" s="119"/>
      <c r="M38" s="283"/>
      <c r="N38" s="128" t="s">
        <v>2909</v>
      </c>
      <c r="O38" s="128" t="s">
        <v>2910</v>
      </c>
      <c r="P38" s="128" t="s">
        <v>649</v>
      </c>
      <c r="Q38" s="128" t="s">
        <v>2769</v>
      </c>
      <c r="R38" s="128" t="s">
        <v>2890</v>
      </c>
      <c r="S38" s="128" t="s">
        <v>166</v>
      </c>
      <c r="T38" s="127" t="s">
        <v>90</v>
      </c>
      <c r="U38" s="123" t="s">
        <v>2809</v>
      </c>
      <c r="V38" s="123">
        <v>16</v>
      </c>
      <c r="W38" s="129">
        <v>0</v>
      </c>
      <c r="X38" s="129" t="s">
        <v>2911</v>
      </c>
      <c r="Z38" s="119"/>
      <c r="AA38" s="119"/>
      <c r="AB38" s="119"/>
    </row>
    <row r="39" spans="9:28" ht="16.95" customHeight="1" x14ac:dyDescent="0.25">
      <c r="J39" s="119" t="str">
        <f>IFERROR(VLOOKUP(#REF!,装备!U21:V40,4,FALSE),"")</f>
        <v/>
      </c>
      <c r="K39" s="119" t="str">
        <f>IFERROR(VLOOKUP(#REF!,装备!U21:V40,3,FALSE),"")</f>
        <v/>
      </c>
      <c r="L39" s="119"/>
      <c r="M39" s="283"/>
      <c r="N39" s="128" t="s">
        <v>113</v>
      </c>
      <c r="O39" s="128" t="s">
        <v>114</v>
      </c>
      <c r="P39" s="128" t="s">
        <v>578</v>
      </c>
      <c r="Q39" s="128" t="s">
        <v>2769</v>
      </c>
      <c r="R39" s="128" t="s">
        <v>2761</v>
      </c>
      <c r="S39" s="128" t="s">
        <v>166</v>
      </c>
      <c r="T39" s="127" t="s">
        <v>90</v>
      </c>
      <c r="U39" s="123" t="s">
        <v>2815</v>
      </c>
      <c r="V39" s="123">
        <v>17</v>
      </c>
      <c r="W39" s="129">
        <v>0</v>
      </c>
      <c r="X39" s="129" t="s">
        <v>2912</v>
      </c>
      <c r="Z39" s="119"/>
      <c r="AA39" s="119"/>
      <c r="AB39" s="119"/>
    </row>
    <row r="40" spans="9:28" ht="16.95" customHeight="1" x14ac:dyDescent="0.25">
      <c r="J40" s="119"/>
      <c r="K40" s="119" t="str">
        <f>IF(OR(装备!K39=0,装备!K39=""),"OK",IF(#REF!&gt;装备!K39,"OK","NO"))</f>
        <v>OK</v>
      </c>
      <c r="L40" s="119"/>
      <c r="M40" s="283"/>
      <c r="N40" s="128" t="s">
        <v>2913</v>
      </c>
      <c r="O40" s="128" t="s">
        <v>2914</v>
      </c>
      <c r="P40" s="128" t="s">
        <v>154</v>
      </c>
      <c r="Q40" s="128" t="s">
        <v>154</v>
      </c>
      <c r="R40" s="128" t="s">
        <v>2822</v>
      </c>
      <c r="S40" s="128" t="s">
        <v>170</v>
      </c>
      <c r="T40" s="127" t="s">
        <v>90</v>
      </c>
      <c r="U40" s="123" t="s">
        <v>2823</v>
      </c>
      <c r="V40" s="123">
        <v>18</v>
      </c>
      <c r="W40" s="129">
        <v>0</v>
      </c>
      <c r="X40" s="129" t="s">
        <v>2912</v>
      </c>
      <c r="Z40" s="119"/>
      <c r="AA40" s="119"/>
      <c r="AB40" s="119"/>
    </row>
    <row r="41" spans="9:28" ht="16.95" customHeight="1" x14ac:dyDescent="0.25">
      <c r="J41" s="119"/>
      <c r="K41" s="119"/>
      <c r="L41" s="119"/>
      <c r="M41" s="286" t="s">
        <v>2915</v>
      </c>
      <c r="N41" s="132" t="s">
        <v>2916</v>
      </c>
      <c r="O41" s="132" t="s">
        <v>2917</v>
      </c>
      <c r="P41" s="132" t="s">
        <v>649</v>
      </c>
      <c r="Q41" s="132" t="s">
        <v>2769</v>
      </c>
      <c r="R41" s="132" t="s">
        <v>2822</v>
      </c>
      <c r="S41" s="132" t="s">
        <v>2918</v>
      </c>
      <c r="T41" s="133" t="s">
        <v>90</v>
      </c>
      <c r="Z41" s="119"/>
      <c r="AA41" s="119"/>
      <c r="AB41" s="119"/>
    </row>
    <row r="42" spans="9:28" ht="16.95" customHeight="1" x14ac:dyDescent="0.25">
      <c r="J42" s="119"/>
      <c r="K42" s="119"/>
      <c r="L42" s="119"/>
      <c r="M42" s="287"/>
      <c r="N42" s="132" t="s">
        <v>2919</v>
      </c>
      <c r="O42" s="132" t="s">
        <v>2920</v>
      </c>
      <c r="P42" s="132" t="s">
        <v>681</v>
      </c>
      <c r="Q42" s="132" t="s">
        <v>2769</v>
      </c>
      <c r="R42" s="132" t="s">
        <v>2777</v>
      </c>
      <c r="S42" s="132" t="s">
        <v>2921</v>
      </c>
      <c r="T42" s="133" t="s">
        <v>90</v>
      </c>
    </row>
    <row r="43" spans="9:28" ht="16.95" customHeight="1" x14ac:dyDescent="0.25">
      <c r="J43" s="119"/>
      <c r="K43" s="119"/>
      <c r="L43" s="119"/>
      <c r="M43" s="286" t="s">
        <v>2922</v>
      </c>
      <c r="N43" s="132" t="s">
        <v>2923</v>
      </c>
      <c r="O43" s="132" t="s">
        <v>2924</v>
      </c>
      <c r="P43" s="132" t="s">
        <v>2871</v>
      </c>
      <c r="Q43" s="132" t="s">
        <v>2769</v>
      </c>
      <c r="R43" s="132" t="s">
        <v>2822</v>
      </c>
      <c r="S43" s="132" t="s">
        <v>154</v>
      </c>
      <c r="T43" s="133" t="s">
        <v>90</v>
      </c>
    </row>
    <row r="44" spans="9:28" ht="16.95" customHeight="1" x14ac:dyDescent="0.25">
      <c r="J44" s="119"/>
      <c r="K44" s="119"/>
      <c r="L44" s="119"/>
      <c r="M44" s="288"/>
      <c r="N44" s="132" t="s">
        <v>2925</v>
      </c>
      <c r="O44" s="132" t="s">
        <v>2926</v>
      </c>
      <c r="P44" s="132" t="s">
        <v>2927</v>
      </c>
      <c r="Q44" s="132" t="s">
        <v>2769</v>
      </c>
      <c r="R44" s="132" t="s">
        <v>2822</v>
      </c>
      <c r="S44" s="132" t="s">
        <v>154</v>
      </c>
      <c r="T44" s="133" t="s">
        <v>90</v>
      </c>
    </row>
    <row r="45" spans="9:28" ht="16.95" customHeight="1" x14ac:dyDescent="0.25">
      <c r="J45" s="119"/>
      <c r="K45" s="119"/>
      <c r="L45" s="119"/>
      <c r="M45" s="288"/>
      <c r="N45" s="132" t="s">
        <v>2928</v>
      </c>
      <c r="O45" s="132" t="s">
        <v>2929</v>
      </c>
      <c r="P45" s="132" t="s">
        <v>2930</v>
      </c>
      <c r="Q45" s="132" t="s">
        <v>2769</v>
      </c>
      <c r="R45" s="132" t="s">
        <v>2931</v>
      </c>
      <c r="S45" s="132" t="s">
        <v>154</v>
      </c>
      <c r="T45" s="133" t="s">
        <v>90</v>
      </c>
    </row>
    <row r="46" spans="9:28" ht="16.95" customHeight="1" x14ac:dyDescent="0.25">
      <c r="J46" s="119"/>
      <c r="K46" s="119"/>
      <c r="L46" s="119"/>
      <c r="M46" s="288"/>
      <c r="N46" s="132" t="s">
        <v>2932</v>
      </c>
      <c r="O46" s="132" t="s">
        <v>2933</v>
      </c>
      <c r="P46" s="132" t="s">
        <v>2927</v>
      </c>
      <c r="Q46" s="132" t="s">
        <v>2769</v>
      </c>
      <c r="R46" s="132" t="s">
        <v>2931</v>
      </c>
      <c r="S46" s="132" t="s">
        <v>154</v>
      </c>
      <c r="T46" s="133" t="s">
        <v>90</v>
      </c>
    </row>
    <row r="47" spans="9:28" ht="16.95" customHeight="1" x14ac:dyDescent="0.25">
      <c r="J47" s="119"/>
      <c r="K47" s="119"/>
      <c r="L47" s="119"/>
      <c r="M47" s="287"/>
      <c r="N47" s="132" t="s">
        <v>2934</v>
      </c>
      <c r="O47" s="132" t="s">
        <v>2935</v>
      </c>
      <c r="P47" s="132" t="s">
        <v>2927</v>
      </c>
      <c r="Q47" s="132" t="s">
        <v>2769</v>
      </c>
      <c r="R47" s="132" t="s">
        <v>2931</v>
      </c>
      <c r="S47" s="132" t="s">
        <v>154</v>
      </c>
      <c r="T47" s="133" t="s">
        <v>90</v>
      </c>
    </row>
    <row r="48" spans="9:28" ht="16.95" customHeight="1" x14ac:dyDescent="0.25">
      <c r="J48" s="119"/>
      <c r="K48" s="119"/>
      <c r="L48" s="119"/>
      <c r="M48" s="286" t="s">
        <v>2936</v>
      </c>
      <c r="N48" s="132" t="s">
        <v>2937</v>
      </c>
      <c r="O48" s="132" t="s">
        <v>2938</v>
      </c>
      <c r="P48" s="132" t="s">
        <v>2939</v>
      </c>
      <c r="Q48" s="132" t="s">
        <v>2819</v>
      </c>
      <c r="R48" s="132" t="s">
        <v>2761</v>
      </c>
      <c r="S48" s="132" t="s">
        <v>154</v>
      </c>
      <c r="T48" s="133" t="s">
        <v>90</v>
      </c>
    </row>
    <row r="49" spans="13:20" ht="16.95" customHeight="1" x14ac:dyDescent="0.25">
      <c r="M49" s="288"/>
      <c r="N49" s="132" t="s">
        <v>2940</v>
      </c>
      <c r="O49" s="132" t="s">
        <v>2941</v>
      </c>
      <c r="P49" s="132" t="s">
        <v>2942</v>
      </c>
      <c r="Q49" s="132" t="s">
        <v>2826</v>
      </c>
      <c r="R49" s="132" t="s">
        <v>2777</v>
      </c>
      <c r="S49" s="132" t="s">
        <v>154</v>
      </c>
      <c r="T49" s="133" t="s">
        <v>90</v>
      </c>
    </row>
    <row r="50" spans="13:20" ht="16.95" customHeight="1" x14ac:dyDescent="0.25">
      <c r="M50" s="287"/>
      <c r="N50" s="132" t="s">
        <v>2943</v>
      </c>
      <c r="O50" s="132" t="s">
        <v>2944</v>
      </c>
      <c r="P50" s="132" t="s">
        <v>2945</v>
      </c>
      <c r="Q50" s="132" t="s">
        <v>2819</v>
      </c>
      <c r="R50" s="132" t="s">
        <v>2867</v>
      </c>
      <c r="S50" s="132" t="s">
        <v>154</v>
      </c>
      <c r="T50" s="133" t="s">
        <v>90</v>
      </c>
    </row>
  </sheetData>
  <mergeCells count="13">
    <mergeCell ref="M18:M35"/>
    <mergeCell ref="M36:M40"/>
    <mergeCell ref="M41:M42"/>
    <mergeCell ref="M43:M47"/>
    <mergeCell ref="M48:M50"/>
    <mergeCell ref="A1:G1"/>
    <mergeCell ref="Z1:AA1"/>
    <mergeCell ref="A17:B17"/>
    <mergeCell ref="A3:A5"/>
    <mergeCell ref="A6:A10"/>
    <mergeCell ref="A11:A14"/>
    <mergeCell ref="M4:M13"/>
    <mergeCell ref="M14:M17"/>
  </mergeCells>
  <phoneticPr fontId="4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159"/>
  <sheetViews>
    <sheetView zoomScale="70" zoomScaleNormal="70" workbookViewId="0">
      <pane xSplit="4" topLeftCell="R1" activePane="topRight" state="frozen"/>
      <selection pane="topRight" activeCell="AE16" sqref="AE16"/>
    </sheetView>
  </sheetViews>
  <sheetFormatPr defaultColWidth="8.77734375" defaultRowHeight="14.55" customHeight="1" x14ac:dyDescent="0.25"/>
  <cols>
    <col min="1" max="4" width="8.77734375" style="11"/>
    <col min="5" max="11" width="8.77734375" style="12"/>
    <col min="12" max="42" width="8.77734375" style="11"/>
    <col min="43" max="16384" width="8.77734375" style="12"/>
  </cols>
  <sheetData>
    <row r="1" spans="1:44" ht="14.55" customHeight="1" x14ac:dyDescent="0.25">
      <c r="A1" s="13" t="s">
        <v>50</v>
      </c>
      <c r="B1" s="13" t="s">
        <v>2946</v>
      </c>
      <c r="C1" s="13" t="s">
        <v>2947</v>
      </c>
      <c r="D1" s="13" t="s">
        <v>2948</v>
      </c>
      <c r="E1" s="14" t="s">
        <v>2949</v>
      </c>
      <c r="F1" s="15" t="s">
        <v>2950</v>
      </c>
      <c r="G1" s="15" t="s">
        <v>100</v>
      </c>
      <c r="H1" s="15" t="s">
        <v>78</v>
      </c>
      <c r="I1" s="15" t="s">
        <v>37</v>
      </c>
      <c r="J1" s="16" t="s">
        <v>2951</v>
      </c>
      <c r="K1" s="15"/>
      <c r="L1" s="17"/>
      <c r="M1" s="13" t="s">
        <v>54</v>
      </c>
      <c r="N1" s="18" t="s">
        <v>533</v>
      </c>
      <c r="O1" s="19" t="s">
        <v>535</v>
      </c>
      <c r="P1" s="20" t="s">
        <v>2952</v>
      </c>
      <c r="Q1" s="21" t="s">
        <v>2953</v>
      </c>
      <c r="R1" s="22" t="s">
        <v>2954</v>
      </c>
      <c r="S1" s="23" t="s">
        <v>2955</v>
      </c>
      <c r="T1" s="24" t="s">
        <v>537</v>
      </c>
      <c r="U1" s="25" t="s">
        <v>2956</v>
      </c>
      <c r="V1" s="26" t="s">
        <v>2957</v>
      </c>
      <c r="W1" s="27" t="s">
        <v>2958</v>
      </c>
      <c r="X1" s="28" t="s">
        <v>540</v>
      </c>
      <c r="Y1" s="29" t="s">
        <v>2959</v>
      </c>
      <c r="Z1" s="30" t="s">
        <v>2960</v>
      </c>
      <c r="AA1" s="31" t="s">
        <v>2961</v>
      </c>
      <c r="AB1" s="32"/>
      <c r="AC1" s="13" t="s">
        <v>100</v>
      </c>
      <c r="AD1" s="33" t="s">
        <v>2962</v>
      </c>
      <c r="AE1" s="289" t="s">
        <v>2963</v>
      </c>
      <c r="AF1" s="276"/>
      <c r="AG1" s="275" t="s">
        <v>47</v>
      </c>
      <c r="AH1" s="289"/>
      <c r="AI1" s="289"/>
      <c r="AJ1" s="276"/>
      <c r="AK1" s="289" t="s">
        <v>2964</v>
      </c>
      <c r="AL1" s="289"/>
      <c r="AM1" s="290" t="s">
        <v>2965</v>
      </c>
      <c r="AN1" s="291"/>
      <c r="AO1" s="292"/>
      <c r="AP1" s="18"/>
    </row>
    <row r="2" spans="1:44" ht="14.55" customHeight="1" x14ac:dyDescent="0.25">
      <c r="A2" s="35" t="s">
        <v>2966</v>
      </c>
      <c r="B2" s="35">
        <v>1</v>
      </c>
      <c r="C2" s="35">
        <v>1</v>
      </c>
      <c r="D2" s="35">
        <v>5</v>
      </c>
      <c r="E2" s="36" t="s">
        <v>2967</v>
      </c>
      <c r="F2" s="37" t="s">
        <v>2968</v>
      </c>
      <c r="G2" s="37" t="s">
        <v>101</v>
      </c>
      <c r="H2" s="37" t="s">
        <v>2969</v>
      </c>
      <c r="I2" s="37" t="s">
        <v>2970</v>
      </c>
      <c r="J2" s="38" t="s">
        <v>2971</v>
      </c>
      <c r="K2" s="37"/>
      <c r="L2" s="36" t="s">
        <v>2966</v>
      </c>
      <c r="M2" s="12" t="s">
        <v>2967</v>
      </c>
      <c r="N2" s="12" t="s">
        <v>2972</v>
      </c>
      <c r="O2" s="39" t="s">
        <v>2973</v>
      </c>
      <c r="P2" s="40" t="s">
        <v>2974</v>
      </c>
      <c r="Q2" s="11" t="str">
        <f t="shared" ref="Q2:AB2" si="0">""</f>
        <v/>
      </c>
      <c r="R2" s="11" t="str">
        <f t="shared" si="0"/>
        <v/>
      </c>
      <c r="S2" s="11" t="str">
        <f t="shared" si="0"/>
        <v/>
      </c>
      <c r="T2" s="11" t="str">
        <f t="shared" si="0"/>
        <v/>
      </c>
      <c r="U2" s="11" t="str">
        <f t="shared" si="0"/>
        <v/>
      </c>
      <c r="V2" s="11" t="str">
        <f t="shared" si="0"/>
        <v/>
      </c>
      <c r="W2" s="11" t="str">
        <f t="shared" si="0"/>
        <v/>
      </c>
      <c r="X2" s="11" t="str">
        <f t="shared" si="0"/>
        <v/>
      </c>
      <c r="Y2" s="11" t="str">
        <f t="shared" si="0"/>
        <v/>
      </c>
      <c r="Z2" s="11" t="str">
        <f t="shared" si="0"/>
        <v/>
      </c>
      <c r="AA2" s="11" t="str">
        <f t="shared" si="0"/>
        <v/>
      </c>
      <c r="AB2" s="41" t="str">
        <f t="shared" si="0"/>
        <v/>
      </c>
      <c r="AC2" s="11" t="s">
        <v>213</v>
      </c>
      <c r="AD2" s="42" t="str" cm="1">
        <f t="array" ref="AD2">INDEX(L:L,SMALL(IF(L2:L51&lt;&gt;"",ROW(2:51),52),ROW(L1)))&amp;""</f>
        <v>矮人</v>
      </c>
      <c r="AE2" s="11" t="e">
        <f>VLOOKUP(AG3,A2:B118,2,0)</f>
        <v>#REF!</v>
      </c>
      <c r="AF2" s="11" t="e">
        <f t="array" ref="AF2">INDEX(AE:AE,SMALL(IF(AE3:AE15&lt;&gt;"",ROW(3:15),16),ROW(AE1)))&amp;""</f>
        <v>#REF!</v>
      </c>
      <c r="AG2" s="43" t="e">
        <f>#REF!</f>
        <v>#REF!</v>
      </c>
      <c r="AH2" s="11" t="s">
        <v>2946</v>
      </c>
      <c r="AI2" s="11" t="s">
        <v>2947</v>
      </c>
      <c r="AJ2" s="41" t="s">
        <v>2948</v>
      </c>
      <c r="AK2" s="11" t="str">
        <f>IFERROR(IF(COUNTIF(AM2:AM15,AH6),"",AH6),"")</f>
        <v>属性值加成</v>
      </c>
      <c r="AL2" s="11" t="str" cm="1">
        <f t="array" ref="AL2">INDEX(AK:AK,SMALL(IF(AK2:AK17&lt;&gt;"",ROW(2:17),17),ROW(AK1)))&amp;""</f>
        <v>属性值加成</v>
      </c>
      <c r="AM2" s="36" t="e">
        <f>IF(#REF!="",0,#REF!)</f>
        <v>#REF!</v>
      </c>
      <c r="AN2" s="12" t="str">
        <f>IFERROR(VLOOKUP(AM2,AH6:AI21,2,0),"")</f>
        <v/>
      </c>
      <c r="AO2" s="44" t="e">
        <f>IF(AM2=0,"",COUNTIF(AM2:AM15,AM2))</f>
        <v>#REF!</v>
      </c>
      <c r="AP2" s="12"/>
      <c r="AR2" s="8"/>
    </row>
    <row r="3" spans="1:44" ht="14.55" customHeight="1" x14ac:dyDescent="0.25">
      <c r="A3" s="12" t="s">
        <v>2967</v>
      </c>
      <c r="B3" s="12"/>
      <c r="C3" s="12">
        <v>6</v>
      </c>
      <c r="D3" s="12">
        <v>6</v>
      </c>
      <c r="E3" s="36" t="s">
        <v>2972</v>
      </c>
      <c r="F3" s="37" t="s">
        <v>2975</v>
      </c>
      <c r="G3" s="37" t="str">
        <f>G2</f>
        <v>中型</v>
      </c>
      <c r="H3" s="37" t="s">
        <v>2969</v>
      </c>
      <c r="I3" s="37" t="str">
        <f t="shared" ref="I3:I5" si="1">I$2</f>
        <v>和矮人语</v>
      </c>
      <c r="J3" s="38" t="s">
        <v>2971</v>
      </c>
      <c r="K3" s="37"/>
      <c r="L3" s="36" t="s">
        <v>51</v>
      </c>
      <c r="M3" s="12" t="s">
        <v>2976</v>
      </c>
      <c r="N3" s="12" t="s">
        <v>2977</v>
      </c>
      <c r="O3" s="12" t="s">
        <v>2978</v>
      </c>
      <c r="P3" s="39" t="s">
        <v>2979</v>
      </c>
      <c r="Q3" s="39" t="s">
        <v>2980</v>
      </c>
      <c r="R3" s="39" t="s">
        <v>2981</v>
      </c>
      <c r="S3" s="40" t="s">
        <v>2982</v>
      </c>
      <c r="T3" s="45" t="s">
        <v>2983</v>
      </c>
      <c r="U3" s="46" t="s">
        <v>55</v>
      </c>
      <c r="V3" s="11" t="str">
        <f t="shared" ref="V3:AB3" si="2">""</f>
        <v/>
      </c>
      <c r="W3" s="11" t="str">
        <f t="shared" si="2"/>
        <v/>
      </c>
      <c r="X3" s="11" t="str">
        <f t="shared" si="2"/>
        <v/>
      </c>
      <c r="Y3" s="11" t="str">
        <f t="shared" si="2"/>
        <v/>
      </c>
      <c r="Z3" s="11" t="str">
        <f t="shared" si="2"/>
        <v/>
      </c>
      <c r="AA3" s="11" t="str">
        <f t="shared" si="2"/>
        <v/>
      </c>
      <c r="AB3" s="41" t="str">
        <f t="shared" si="2"/>
        <v/>
      </c>
      <c r="AC3" s="11" t="s">
        <v>217</v>
      </c>
      <c r="AD3" s="42" t="str" cm="1">
        <f t="array" ref="AD3">INDEX(L:L,SMALL(IF(L2:L51&lt;&gt;"",ROW(2:51),52),ROW(L2)))&amp;""</f>
        <v>精灵</v>
      </c>
      <c r="AE3" s="11" t="e">
        <f>INDEX(M2:V51,AE2,1)</f>
        <v>#REF!</v>
      </c>
      <c r="AF3" s="11" t="e">
        <f t="array" ref="AF3">INDEX(AE:AE,SMALL(IF(AE3:AE15&lt;&gt;"",ROW(3:15),16),ROW(AE2)))&amp;""</f>
        <v>#REF!</v>
      </c>
      <c r="AG3" s="43" t="e">
        <f>IF(#REF!="",0,#REF!)</f>
        <v>#REF!</v>
      </c>
      <c r="AH3" s="11" t="e">
        <f>IF(COUNTIF(AE13:AE15,AG4)=0,VLOOKUP(AG3,A:B,2,0)*2,VLOOKUP(AG4,A:B,2,0)*2)</f>
        <v>#REF!</v>
      </c>
      <c r="AJ3" s="41" t="e">
        <f>IF(COUNTIF(AE13:AE15,AG4)=0,VLOOKUP(AG3,A:D,4,0),VLOOKUP(AG4,A:D,4,0))</f>
        <v>#REF!</v>
      </c>
      <c r="AK3" s="11" t="str">
        <f>IFERROR(IF(COUNTIF(AM2:AM15,AH7),"",AH7),"")</f>
        <v>生物种类</v>
      </c>
      <c r="AL3" s="11" t="str" cm="1">
        <f t="array" ref="AL3">INDEX(AK:AK,SMALL(IF(AK2:AK17&lt;&gt;"",ROW(2:17),17),ROW(AK2)))&amp;""</f>
        <v>生物种类</v>
      </c>
      <c r="AM3" s="36" t="e">
        <f>IF(#REF!="",0,#REF!)</f>
        <v>#REF!</v>
      </c>
      <c r="AN3" s="12" t="str">
        <f>IFERROR(VLOOKUP(AM3,AH6:AI21,2,0),"")</f>
        <v/>
      </c>
      <c r="AO3" s="44" t="e">
        <f>IF(AM3=0,"",COUNTIF(AM2:AM15,AM3))</f>
        <v>#REF!</v>
      </c>
      <c r="AP3" s="12"/>
      <c r="AR3" s="8"/>
    </row>
    <row r="4" spans="1:44" ht="14.55" customHeight="1" x14ac:dyDescent="0.25">
      <c r="A4" s="12" t="s">
        <v>2972</v>
      </c>
      <c r="B4" s="12"/>
      <c r="C4" s="12">
        <v>7</v>
      </c>
      <c r="D4" s="12">
        <v>7</v>
      </c>
      <c r="E4" s="47" t="s">
        <v>2973</v>
      </c>
      <c r="F4" s="37" t="s">
        <v>2984</v>
      </c>
      <c r="G4" s="37" t="str">
        <f>G2</f>
        <v>中型</v>
      </c>
      <c r="H4" s="37" t="s">
        <v>79</v>
      </c>
      <c r="I4" s="37" t="s">
        <v>2985</v>
      </c>
      <c r="J4" s="38" t="s">
        <v>2971</v>
      </c>
      <c r="K4" s="37"/>
      <c r="L4" s="36" t="s">
        <v>2986</v>
      </c>
      <c r="M4" s="12" t="s">
        <v>2987</v>
      </c>
      <c r="N4" s="12" t="s">
        <v>2988</v>
      </c>
      <c r="O4" s="48" t="s">
        <v>2989</v>
      </c>
      <c r="P4" s="40" t="s">
        <v>2990</v>
      </c>
      <c r="Q4" s="40" t="s">
        <v>2991</v>
      </c>
      <c r="R4" s="45" t="s">
        <v>2992</v>
      </c>
      <c r="S4" s="11" t="str">
        <f t="shared" ref="S4:AB4" si="3">""</f>
        <v/>
      </c>
      <c r="T4" s="11" t="str">
        <f t="shared" si="3"/>
        <v/>
      </c>
      <c r="U4" s="11" t="str">
        <f t="shared" si="3"/>
        <v/>
      </c>
      <c r="V4" s="11" t="str">
        <f t="shared" si="3"/>
        <v/>
      </c>
      <c r="W4" s="11" t="str">
        <f t="shared" si="3"/>
        <v/>
      </c>
      <c r="X4" s="11" t="str">
        <f t="shared" si="3"/>
        <v/>
      </c>
      <c r="Y4" s="11" t="str">
        <f t="shared" si="3"/>
        <v/>
      </c>
      <c r="Z4" s="11" t="str">
        <f t="shared" si="3"/>
        <v/>
      </c>
      <c r="AA4" s="11" t="str">
        <f t="shared" si="3"/>
        <v/>
      </c>
      <c r="AB4" s="41" t="str">
        <f t="shared" si="3"/>
        <v/>
      </c>
      <c r="AC4" s="11" t="s">
        <v>101</v>
      </c>
      <c r="AD4" s="42" t="str">
        <f t="array" ref="AD4">INDEX(L:L,SMALL(IF(L2:L51&lt;&gt;"",ROW(2:51),52),ROW(L3)))&amp;""</f>
        <v>半身人</v>
      </c>
      <c r="AE4" s="11" t="e">
        <f>INDEX(M2:V51,AE2,2)</f>
        <v>#REF!</v>
      </c>
      <c r="AF4" s="11" t="e">
        <f t="array" ref="AF4">INDEX(AE:AE,SMALL(IF(AE3:AE15&lt;&gt;"",ROW(3:15),16),ROW(AE3)))&amp;""</f>
        <v>#REF!</v>
      </c>
      <c r="AG4" s="43" t="e">
        <f>IF(#REF!="",0,#REF!)</f>
        <v>#REF!</v>
      </c>
      <c r="AH4" s="11" t="e">
        <f>AH3-1</f>
        <v>#REF!</v>
      </c>
      <c r="AI4" s="11" t="e">
        <f>IF(COUNTIF(AE13:AE15,AG4)=0,VLOOKUP(AG4,A:C,3,0),0/0)</f>
        <v>#REF!</v>
      </c>
      <c r="AJ4" s="41" t="e">
        <f>VLOOKUP(AG4,A:D,4,0)</f>
        <v>#REF!</v>
      </c>
      <c r="AK4" s="11" t="str">
        <f>IFERROR(IF(COUNTIF(AM2:AM15,AH8),"",AH8),"")</f>
        <v>体型</v>
      </c>
      <c r="AL4" s="11" t="str" cm="1">
        <f t="array" ref="AL4">INDEX(AK:AK,SMALL(IF(AK2:AK17&lt;&gt;"",ROW(2:17),17),ROW(AK3)))&amp;""</f>
        <v>体型</v>
      </c>
      <c r="AM4" s="36" t="e">
        <f>IF(#REF!="",0,#REF!)</f>
        <v>#REF!</v>
      </c>
      <c r="AN4" s="12" t="str">
        <f>IFERROR(VLOOKUP(AM4,AH6:AI21,2,0),"")</f>
        <v/>
      </c>
      <c r="AO4" s="44" t="e">
        <f>IF(AM4=0,"",COUNTIF(AM2:AM15,AM4))</f>
        <v>#REF!</v>
      </c>
      <c r="AP4" s="12"/>
      <c r="AR4" s="8"/>
    </row>
    <row r="5" spans="1:44" ht="14.55" customHeight="1" x14ac:dyDescent="0.25">
      <c r="A5" s="39" t="s">
        <v>2973</v>
      </c>
      <c r="B5" s="39"/>
      <c r="C5" s="39">
        <v>8</v>
      </c>
      <c r="D5" s="39" t="e">
        <f>IF(AG2&lt;3,9,10)</f>
        <v>#REF!</v>
      </c>
      <c r="E5" s="49" t="s">
        <v>2974</v>
      </c>
      <c r="F5" s="37" t="s">
        <v>2993</v>
      </c>
      <c r="G5" s="37" t="str">
        <f>G2</f>
        <v>中型</v>
      </c>
      <c r="H5" s="37" t="s">
        <v>2969</v>
      </c>
      <c r="I5" s="37" t="str">
        <f t="shared" si="1"/>
        <v>和矮人语</v>
      </c>
      <c r="J5" s="38" t="s">
        <v>2971</v>
      </c>
      <c r="K5" s="37"/>
      <c r="L5" s="36" t="s">
        <v>2994</v>
      </c>
      <c r="M5" s="12" t="s">
        <v>2995</v>
      </c>
      <c r="N5" s="40" t="s">
        <v>2996</v>
      </c>
      <c r="O5" s="40" t="s">
        <v>2997</v>
      </c>
      <c r="P5" s="40" t="s">
        <v>2998</v>
      </c>
      <c r="Q5" s="40" t="s">
        <v>2999</v>
      </c>
      <c r="R5" s="40" t="s">
        <v>3000</v>
      </c>
      <c r="S5" s="12" t="str">
        <f t="shared" ref="S5:AB5" si="4">""</f>
        <v/>
      </c>
      <c r="T5" s="12" t="str">
        <f t="shared" si="4"/>
        <v/>
      </c>
      <c r="U5" s="12" t="str">
        <f t="shared" si="4"/>
        <v/>
      </c>
      <c r="V5" s="12" t="str">
        <f t="shared" si="4"/>
        <v/>
      </c>
      <c r="W5" s="12" t="str">
        <f t="shared" si="4"/>
        <v/>
      </c>
      <c r="X5" s="12" t="str">
        <f t="shared" si="4"/>
        <v/>
      </c>
      <c r="Y5" s="12" t="str">
        <f t="shared" si="4"/>
        <v/>
      </c>
      <c r="Z5" s="12" t="str">
        <f t="shared" si="4"/>
        <v/>
      </c>
      <c r="AA5" s="12" t="str">
        <f t="shared" si="4"/>
        <v/>
      </c>
      <c r="AB5" s="41" t="str">
        <f t="shared" si="4"/>
        <v/>
      </c>
      <c r="AC5" s="11" t="s">
        <v>229</v>
      </c>
      <c r="AD5" s="42" t="str">
        <f t="array" ref="AD5">INDEX(L:L,SMALL(IF(L2:L51&lt;&gt;"",ROW(2:51),52),ROW(L4)))&amp;""</f>
        <v>人类</v>
      </c>
      <c r="AE5" s="11" t="e">
        <f>INDEX(M2:V51,AE2,3)</f>
        <v>#REF!</v>
      </c>
      <c r="AF5" s="11" t="e">
        <f t="array" ref="AF5">INDEX(AE:AE,SMALL(IF(AE3:AE15&lt;&gt;"",ROW(3:15),16),ROW(AE4)))&amp;""</f>
        <v>#REF!</v>
      </c>
      <c r="AG5" s="50" t="s">
        <v>3001</v>
      </c>
      <c r="AH5" s="11" t="s">
        <v>48</v>
      </c>
      <c r="AI5" s="11" t="s">
        <v>49</v>
      </c>
      <c r="AJ5" s="41" t="s">
        <v>694</v>
      </c>
      <c r="AK5" s="11" t="str">
        <f>IFERROR(IF(COUNTIF(AM2:AM15,AH9),"",AH9),"")</f>
        <v>速度</v>
      </c>
      <c r="AL5" s="11" t="str" cm="1">
        <f t="array" ref="AL5">INDEX(AK:AK,SMALL(IF(AK2:AK17&lt;&gt;"",ROW(2:17),17),ROW(AK4)))&amp;""</f>
        <v>速度</v>
      </c>
      <c r="AM5" s="36" t="e">
        <f>IF(#REF!="",0,#REF!)</f>
        <v>#REF!</v>
      </c>
      <c r="AN5" s="12" t="str">
        <f>IFERROR(VLOOKUP(AM5,AH6:AI21,2,0),"")</f>
        <v/>
      </c>
      <c r="AO5" s="44" t="e">
        <f>IF(AM5=0,"",COUNTIF(AM2:AM15,AM5))</f>
        <v>#REF!</v>
      </c>
      <c r="AP5" s="12"/>
      <c r="AR5" s="8"/>
    </row>
    <row r="6" spans="1:44" ht="14.55" customHeight="1" x14ac:dyDescent="0.25">
      <c r="A6" s="40" t="s">
        <v>2974</v>
      </c>
      <c r="B6" s="40"/>
      <c r="C6" s="40">
        <v>11</v>
      </c>
      <c r="D6" s="40">
        <v>13</v>
      </c>
      <c r="E6" s="36" t="s">
        <v>2976</v>
      </c>
      <c r="F6" s="37" t="s">
        <v>3002</v>
      </c>
      <c r="G6" s="37" t="s">
        <v>101</v>
      </c>
      <c r="H6" s="37" t="s">
        <v>79</v>
      </c>
      <c r="I6" s="37" t="s">
        <v>3003</v>
      </c>
      <c r="J6" s="38" t="s">
        <v>2971</v>
      </c>
      <c r="K6" s="37"/>
      <c r="L6" s="36" t="s">
        <v>3004</v>
      </c>
      <c r="M6" s="45" t="s">
        <v>3005</v>
      </c>
      <c r="N6" s="45" t="s">
        <v>3006</v>
      </c>
      <c r="O6" s="51" t="s">
        <v>3007</v>
      </c>
      <c r="P6" s="51" t="s">
        <v>3008</v>
      </c>
      <c r="Q6" s="51" t="s">
        <v>3009</v>
      </c>
      <c r="R6" s="11" t="str">
        <f t="shared" ref="R6:AB6" si="5">""</f>
        <v/>
      </c>
      <c r="S6" s="11" t="str">
        <f t="shared" si="5"/>
        <v/>
      </c>
      <c r="T6" s="11" t="str">
        <f t="shared" si="5"/>
        <v/>
      </c>
      <c r="U6" s="11" t="str">
        <f t="shared" si="5"/>
        <v/>
      </c>
      <c r="V6" s="11" t="str">
        <f t="shared" si="5"/>
        <v/>
      </c>
      <c r="W6" s="11" t="str">
        <f t="shared" si="5"/>
        <v/>
      </c>
      <c r="X6" s="11" t="str">
        <f t="shared" si="5"/>
        <v/>
      </c>
      <c r="Y6" s="11" t="str">
        <f t="shared" si="5"/>
        <v/>
      </c>
      <c r="Z6" s="11" t="str">
        <f t="shared" si="5"/>
        <v/>
      </c>
      <c r="AA6" s="11" t="str">
        <f t="shared" si="5"/>
        <v/>
      </c>
      <c r="AB6" s="41" t="str">
        <f t="shared" si="5"/>
        <v/>
      </c>
      <c r="AC6" s="11" t="s">
        <v>239</v>
      </c>
      <c r="AD6" s="42" t="str">
        <f t="array" ref="AD6">INDEX(L:L,SMALL(IF(L2:L51&lt;&gt;"",ROW(2:51),52),ROW(L5)))&amp;""</f>
        <v>龙裔</v>
      </c>
      <c r="AE6" s="11" t="e">
        <f>INDEX(M2:V51,AE2,4)</f>
        <v>#REF!</v>
      </c>
      <c r="AF6" s="11" t="e">
        <f t="array" ref="AF6">INDEX(AE:AE,SMALL(IF(AE3:AE15&lt;&gt;"",ROW(3:15),16),ROW(AE5)))&amp;""</f>
        <v>#REF!</v>
      </c>
      <c r="AG6" s="50"/>
      <c r="AH6" s="11" t="s">
        <v>2950</v>
      </c>
      <c r="AI6" s="11" t="e">
        <f>IF(AE18=0,"",IF(AG4=0,VLOOKUP(AG3,E:F,2,0),VLOOKUP(AG4,E:F,2,0)))</f>
        <v>#REF!</v>
      </c>
      <c r="AJ6" s="41"/>
      <c r="AK6" s="11" t="str">
        <f>IFERROR(IF(COUNTIF(AM2:AM15,AH10),"",AH10),"")</f>
        <v>语言</v>
      </c>
      <c r="AL6" s="11" t="str" cm="1">
        <f t="array" ref="AL6">INDEX(AK:AK,SMALL(IF(AK2:AK17&lt;&gt;"",ROW(2:17),17),ROW(AK5)))&amp;""</f>
        <v>语言</v>
      </c>
      <c r="AM6" s="36" t="e">
        <f>IF(#REF!="",0,#REF!)</f>
        <v>#REF!</v>
      </c>
      <c r="AN6" s="12" t="str">
        <f>IFERROR(VLOOKUP(AM6,AH6:AI21,2,0),"")</f>
        <v/>
      </c>
      <c r="AO6" s="44" t="e">
        <f>IF(AM6=0,"",COUNTIF(AM2:AM15,AM6))</f>
        <v>#REF!</v>
      </c>
      <c r="AP6" s="12"/>
      <c r="AR6" s="8"/>
    </row>
    <row r="7" spans="1:44" ht="14.55" customHeight="1" x14ac:dyDescent="0.25">
      <c r="A7" s="35" t="s">
        <v>51</v>
      </c>
      <c r="B7" s="35">
        <v>2</v>
      </c>
      <c r="C7" s="35">
        <v>1</v>
      </c>
      <c r="D7" s="35">
        <v>3</v>
      </c>
      <c r="E7" s="36" t="s">
        <v>2977</v>
      </c>
      <c r="F7" s="37" t="s">
        <v>3010</v>
      </c>
      <c r="G7" s="37" t="str">
        <f>G6</f>
        <v>中型</v>
      </c>
      <c r="H7" s="37" t="s">
        <v>79</v>
      </c>
      <c r="I7" s="37" t="s">
        <v>3003</v>
      </c>
      <c r="J7" s="38" t="s">
        <v>2971</v>
      </c>
      <c r="K7" s="37"/>
      <c r="L7" s="36" t="s">
        <v>3011</v>
      </c>
      <c r="M7" s="12" t="s">
        <v>3012</v>
      </c>
      <c r="N7" s="12" t="s">
        <v>3013</v>
      </c>
      <c r="O7" s="39" t="s">
        <v>3014</v>
      </c>
      <c r="P7" s="40" t="s">
        <v>3015</v>
      </c>
      <c r="Q7" s="11" t="str">
        <f t="shared" ref="Q7:AB7" si="6">""</f>
        <v/>
      </c>
      <c r="R7" s="11" t="str">
        <f t="shared" si="6"/>
        <v/>
      </c>
      <c r="S7" s="11" t="str">
        <f t="shared" si="6"/>
        <v/>
      </c>
      <c r="T7" s="11" t="str">
        <f t="shared" si="6"/>
        <v/>
      </c>
      <c r="U7" s="11" t="str">
        <f t="shared" si="6"/>
        <v/>
      </c>
      <c r="V7" s="11" t="str">
        <f t="shared" si="6"/>
        <v/>
      </c>
      <c r="W7" s="11" t="str">
        <f t="shared" si="6"/>
        <v/>
      </c>
      <c r="X7" s="11" t="str">
        <f t="shared" si="6"/>
        <v/>
      </c>
      <c r="Y7" s="11" t="str">
        <f t="shared" si="6"/>
        <v/>
      </c>
      <c r="Z7" s="11" t="str">
        <f t="shared" si="6"/>
        <v/>
      </c>
      <c r="AA7" s="11" t="str">
        <f t="shared" si="6"/>
        <v/>
      </c>
      <c r="AB7" s="41" t="str">
        <f t="shared" si="6"/>
        <v/>
      </c>
      <c r="AC7" s="52" t="s">
        <v>245</v>
      </c>
      <c r="AD7" s="42" t="str">
        <f t="array" ref="AD7">INDEX(L:L,SMALL(IF(L2:L51&lt;&gt;"",ROW(2:51),52),ROW(L6)))&amp;""</f>
        <v>侏儒</v>
      </c>
      <c r="AE7" s="11" t="e">
        <f>INDEX(M2:V51,AE2,5)</f>
        <v>#REF!</v>
      </c>
      <c r="AF7" s="11" t="e">
        <f t="array" ref="AF7">INDEX(AE:AE,SMALL(IF(AE3:AE15&lt;&gt;"",ROW(3:15),16),ROW(AE6)))&amp;""</f>
        <v>#REF!</v>
      </c>
      <c r="AG7" s="50"/>
      <c r="AH7" s="11" t="s">
        <v>2951</v>
      </c>
      <c r="AI7" s="11" t="e">
        <f>IF(AE18=0,"",IF(AG4=0,VLOOKUP(AG3,E:J,6,0),VLOOKUP(AG4,E:J,6,0)))</f>
        <v>#REF!</v>
      </c>
      <c r="AJ7" s="41"/>
      <c r="AK7" s="11" t="str">
        <f>IFERROR(IF(OR(AH11="",COUNTIF(AM2:AM15,AH11)),"",AH11),"")</f>
        <v/>
      </c>
      <c r="AL7" s="11" t="str" cm="1">
        <f t="array" ref="AL7">INDEX(AK:AK,SMALL(IF(AK2:AK17&lt;&gt;"",ROW(2:17),17),ROW(AK6)))&amp;""</f>
        <v/>
      </c>
      <c r="AM7" s="36" t="e">
        <f>IF(#REF!="",0,#REF!)</f>
        <v>#REF!</v>
      </c>
      <c r="AN7" s="12" t="str">
        <f>IFERROR(VLOOKUP(AM7,AH6:AI21,2,0),"")</f>
        <v/>
      </c>
      <c r="AO7" s="44" t="e">
        <f>IF(AM7=0,"",COUNTIF(AM2:AM15,AM7))</f>
        <v>#REF!</v>
      </c>
      <c r="AP7" s="12"/>
      <c r="AR7" s="8"/>
    </row>
    <row r="8" spans="1:44" ht="14.55" customHeight="1" x14ac:dyDescent="0.25">
      <c r="A8" s="12" t="s">
        <v>2976</v>
      </c>
      <c r="B8" s="12"/>
      <c r="C8" s="12">
        <v>4</v>
      </c>
      <c r="D8" s="12">
        <v>7</v>
      </c>
      <c r="E8" s="36" t="s">
        <v>2978</v>
      </c>
      <c r="F8" s="37" t="s">
        <v>3016</v>
      </c>
      <c r="G8" s="37" t="str">
        <f>G6</f>
        <v>中型</v>
      </c>
      <c r="H8" s="37" t="s">
        <v>79</v>
      </c>
      <c r="I8" s="37" t="s">
        <v>3003</v>
      </c>
      <c r="J8" s="38" t="s">
        <v>2971</v>
      </c>
      <c r="K8" s="37"/>
      <c r="L8" s="36" t="s">
        <v>3017</v>
      </c>
      <c r="M8" s="48" t="s">
        <v>3018</v>
      </c>
      <c r="N8" s="48" t="s">
        <v>3019</v>
      </c>
      <c r="O8" s="48" t="s">
        <v>3020</v>
      </c>
      <c r="P8" s="48" t="s">
        <v>3021</v>
      </c>
      <c r="Q8" s="48" t="s">
        <v>3022</v>
      </c>
      <c r="R8" s="40" t="s">
        <v>3023</v>
      </c>
      <c r="S8" s="40" t="s">
        <v>3024</v>
      </c>
      <c r="T8" s="11" t="str">
        <f t="shared" ref="T8:AB8" si="7">""</f>
        <v/>
      </c>
      <c r="U8" s="11" t="str">
        <f t="shared" si="7"/>
        <v/>
      </c>
      <c r="V8" s="11" t="str">
        <f t="shared" si="7"/>
        <v/>
      </c>
      <c r="W8" s="11" t="str">
        <f t="shared" si="7"/>
        <v/>
      </c>
      <c r="X8" s="11" t="str">
        <f t="shared" si="7"/>
        <v/>
      </c>
      <c r="Y8" s="11" t="str">
        <f t="shared" si="7"/>
        <v/>
      </c>
      <c r="Z8" s="11" t="str">
        <f t="shared" si="7"/>
        <v/>
      </c>
      <c r="AA8" s="11" t="str">
        <f t="shared" si="7"/>
        <v/>
      </c>
      <c r="AB8" s="41" t="str">
        <f t="shared" si="7"/>
        <v/>
      </c>
      <c r="AD8" s="42" t="str">
        <f t="array" ref="AD8">INDEX(L:L,SMALL(IF(L2:L51&lt;&gt;"",ROW(2:51),52),ROW(L7)))&amp;""</f>
        <v>半精灵</v>
      </c>
      <c r="AE8" s="11" t="e">
        <f>INDEX(M2:V51,AE2,6)</f>
        <v>#REF!</v>
      </c>
      <c r="AF8" s="11" t="e">
        <f t="array" ref="AF8">INDEX(AE:AE,SMALL(IF(AE3:AE15&lt;&gt;"",ROW(3:15),16),ROW(AE7)))&amp;""</f>
        <v>#REF!</v>
      </c>
      <c r="AG8" s="50"/>
      <c r="AH8" s="11" t="s">
        <v>100</v>
      </c>
      <c r="AI8" s="11" t="e">
        <f>IF(AE18=0,"",IF(AG4=0,VLOOKUP(AG3,E:G,3,0),VLOOKUP(AG4,E:G,3,0)))</f>
        <v>#REF!</v>
      </c>
      <c r="AJ8" s="41"/>
      <c r="AK8" s="11" t="str">
        <f>IFERROR(IF(OR(AH12="",COUNTIF(AM2:AM15,AH12)),"",AH12),"")</f>
        <v/>
      </c>
      <c r="AL8" s="11" t="str" cm="1">
        <f t="array" ref="AL8">INDEX(AK:AK,SMALL(IF(AK2:AK17&lt;&gt;"",ROW(2:17),17),ROW(AK7)))&amp;""</f>
        <v/>
      </c>
      <c r="AM8" s="36" t="e">
        <f>IF(#REF!="",0,#REF!)</f>
        <v>#REF!</v>
      </c>
      <c r="AN8" s="12" t="str">
        <f>IFERROR(VLOOKUP(AM8,AH6:AI21,2,0),"")</f>
        <v/>
      </c>
      <c r="AO8" s="44" t="e">
        <f>IF(AM8=0,"",COUNTIF(AM2:AM15,AM8))</f>
        <v>#REF!</v>
      </c>
      <c r="AP8" s="12"/>
    </row>
    <row r="9" spans="1:44" ht="14.55" customHeight="1" x14ac:dyDescent="0.25">
      <c r="A9" s="12" t="s">
        <v>2977</v>
      </c>
      <c r="B9" s="12"/>
      <c r="C9" s="12">
        <v>8</v>
      </c>
      <c r="D9" s="12">
        <v>11</v>
      </c>
      <c r="E9" s="47" t="s">
        <v>2979</v>
      </c>
      <c r="F9" s="37" t="s">
        <v>2984</v>
      </c>
      <c r="G9" s="37" t="str">
        <f>G6</f>
        <v>中型</v>
      </c>
      <c r="H9" s="37" t="s">
        <v>79</v>
      </c>
      <c r="I9" s="37" t="s">
        <v>2985</v>
      </c>
      <c r="J9" s="38" t="s">
        <v>2971</v>
      </c>
      <c r="K9" s="37"/>
      <c r="L9" s="36" t="s">
        <v>3025</v>
      </c>
      <c r="M9" s="40" t="s">
        <v>2996</v>
      </c>
      <c r="N9" s="12" t="str">
        <f t="shared" ref="N9:AB9" si="8">""</f>
        <v/>
      </c>
      <c r="O9" s="12" t="str">
        <f t="shared" si="8"/>
        <v/>
      </c>
      <c r="P9" s="12" t="str">
        <f t="shared" si="8"/>
        <v/>
      </c>
      <c r="Q9" s="12" t="str">
        <f t="shared" si="8"/>
        <v/>
      </c>
      <c r="R9" s="12" t="str">
        <f t="shared" si="8"/>
        <v/>
      </c>
      <c r="S9" s="12" t="str">
        <f t="shared" si="8"/>
        <v/>
      </c>
      <c r="T9" s="12" t="str">
        <f t="shared" si="8"/>
        <v/>
      </c>
      <c r="U9" s="12" t="str">
        <f t="shared" si="8"/>
        <v/>
      </c>
      <c r="V9" s="12" t="str">
        <f t="shared" si="8"/>
        <v/>
      </c>
      <c r="W9" s="12" t="str">
        <f t="shared" si="8"/>
        <v/>
      </c>
      <c r="X9" s="12" t="str">
        <f t="shared" si="8"/>
        <v/>
      </c>
      <c r="Y9" s="12" t="str">
        <f t="shared" si="8"/>
        <v/>
      </c>
      <c r="Z9" s="12" t="str">
        <f t="shared" si="8"/>
        <v/>
      </c>
      <c r="AA9" s="12" t="str">
        <f t="shared" si="8"/>
        <v/>
      </c>
      <c r="AB9" s="41" t="str">
        <f t="shared" si="8"/>
        <v/>
      </c>
      <c r="AD9" s="42" t="str">
        <f t="array" ref="AD9">INDEX(L:L,SMALL(IF(L2:L51&lt;&gt;"",ROW(2:51),52),ROW(L8)))&amp;""</f>
        <v>半兽人</v>
      </c>
      <c r="AE9" s="11" t="e">
        <f>INDEX(M2:V51,AE2,7)</f>
        <v>#REF!</v>
      </c>
      <c r="AF9" s="11" t="e">
        <f t="array" ref="AF9">INDEX(AE:AE,SMALL(IF(AE3:AE15&lt;&gt;"",ROW(3:15),16),ROW(AE8)))&amp;""</f>
        <v>#REF!</v>
      </c>
      <c r="AG9" s="50"/>
      <c r="AH9" s="11" t="s">
        <v>78</v>
      </c>
      <c r="AI9" s="11" t="e">
        <f>IF(AE18=0,"",IF(AG4=0,VLOOKUP(AG3,E:H,4,0),VLOOKUP(AG4,E:H,4,0)))</f>
        <v>#REF!</v>
      </c>
      <c r="AJ9" s="41"/>
      <c r="AK9" s="11" t="str">
        <f>IFERROR(IF(OR(AH13="",COUNTIF(AM2:AM15,AH13)),"",AH13),"")</f>
        <v/>
      </c>
      <c r="AL9" s="11" t="str" cm="1">
        <f t="array" ref="AL9">INDEX(AK:AK,SMALL(IF(AK2:AK17&lt;&gt;"",ROW(2:17),17),ROW(AK8)))&amp;""</f>
        <v/>
      </c>
      <c r="AM9" s="36" t="e">
        <f>IF(#REF!="",0,#REF!)</f>
        <v>#REF!</v>
      </c>
      <c r="AN9" s="12" t="str">
        <f>IFERROR(VLOOKUP(AM9,AH6:AI21,2,0),"")</f>
        <v/>
      </c>
      <c r="AO9" s="44" t="e">
        <f>IF(AM9=0,"",COUNTIF(AM2:AM15,AM9))</f>
        <v>#REF!</v>
      </c>
      <c r="AP9" s="12"/>
    </row>
    <row r="10" spans="1:44" ht="14.55" customHeight="1" x14ac:dyDescent="0.25">
      <c r="A10" s="12" t="s">
        <v>2978</v>
      </c>
      <c r="B10" s="12"/>
      <c r="C10" s="12">
        <v>12</v>
      </c>
      <c r="D10" s="12">
        <v>16</v>
      </c>
      <c r="E10" s="47" t="s">
        <v>2980</v>
      </c>
      <c r="F10" s="37" t="str">
        <f>F9</f>
        <v>自选两项属性分别+2/+1或自选三项属性+1</v>
      </c>
      <c r="G10" s="37" t="str">
        <f>G6</f>
        <v>中型</v>
      </c>
      <c r="H10" s="53" t="s">
        <v>3026</v>
      </c>
      <c r="I10" s="37" t="s">
        <v>2985</v>
      </c>
      <c r="J10" s="38" t="s">
        <v>2971</v>
      </c>
      <c r="K10" s="37"/>
      <c r="L10" s="36" t="s">
        <v>3027</v>
      </c>
      <c r="M10" s="48" t="s">
        <v>3028</v>
      </c>
      <c r="N10" s="39" t="s">
        <v>3029</v>
      </c>
      <c r="O10" s="39" t="s">
        <v>3030</v>
      </c>
      <c r="P10" s="39" t="s">
        <v>3031</v>
      </c>
      <c r="Q10" s="39" t="s">
        <v>3032</v>
      </c>
      <c r="R10" s="39" t="s">
        <v>3033</v>
      </c>
      <c r="S10" s="39" t="s">
        <v>3034</v>
      </c>
      <c r="T10" s="39" t="s">
        <v>3035</v>
      </c>
      <c r="U10" s="39" t="s">
        <v>3036</v>
      </c>
      <c r="V10" s="11" t="str">
        <f t="shared" ref="V10:AB10" si="9">""</f>
        <v/>
      </c>
      <c r="W10" s="11" t="str">
        <f t="shared" si="9"/>
        <v/>
      </c>
      <c r="X10" s="11" t="str">
        <f t="shared" si="9"/>
        <v/>
      </c>
      <c r="Y10" s="11" t="str">
        <f t="shared" si="9"/>
        <v/>
      </c>
      <c r="Z10" s="11" t="str">
        <f t="shared" si="9"/>
        <v/>
      </c>
      <c r="AA10" s="11" t="str">
        <f t="shared" si="9"/>
        <v/>
      </c>
      <c r="AB10" s="41" t="str">
        <f t="shared" si="9"/>
        <v/>
      </c>
      <c r="AD10" s="42" t="str">
        <f t="array" ref="AD10">INDEX(L:L,SMALL(IF(L2:L51&lt;&gt;"",ROW(2:51),52),ROW(L9)))&amp;""</f>
        <v>提夫林</v>
      </c>
      <c r="AE10" s="11" t="e">
        <f>INDEX(M2:V51,AE2,8)</f>
        <v>#REF!</v>
      </c>
      <c r="AF10" s="11" t="e">
        <f t="array" ref="AF10">INDEX(AE:AE,SMALL(IF(AE3:AE15&lt;&gt;"",ROW(3:15),16),ROW(AE9)))&amp;""</f>
        <v>#REF!</v>
      </c>
      <c r="AG10" s="50"/>
      <c r="AH10" s="11" t="s">
        <v>37</v>
      </c>
      <c r="AI10" s="11" t="e">
        <f>IF(AE18=0,"","能说、读、写通用语"&amp;IF(AG4=0,VLOOKUP(AG3,E:I,5,0),VLOOKUP(AG4,E:I,5,0)))</f>
        <v>#REF!</v>
      </c>
      <c r="AJ10" s="41"/>
      <c r="AK10" s="11" t="str">
        <f>IFERROR(IF(OR(AH14="",COUNTIF(AM2:AM15,AH14)),"",AH14),"")</f>
        <v/>
      </c>
      <c r="AL10" s="11" t="str" cm="1">
        <f t="array" ref="AL10">INDEX(AK:AK,SMALL(IF(AK2:AK17&lt;&gt;"",ROW(2:17),17),ROW(AK9)))&amp;""</f>
        <v/>
      </c>
      <c r="AM10" s="36" t="e">
        <f>IF(#REF!="",0,#REF!)</f>
        <v>#REF!</v>
      </c>
      <c r="AN10" s="12" t="str">
        <f>IFERROR(VLOOKUP(AM10,AH6:AI21,2,0),"")</f>
        <v/>
      </c>
      <c r="AO10" s="44" t="e">
        <f>IF(AM10=0,"",COUNTIF(AM2:AM15,AM10))</f>
        <v>#REF!</v>
      </c>
      <c r="AP10" s="12"/>
    </row>
    <row r="11" spans="1:44" ht="14.55" customHeight="1" x14ac:dyDescent="0.25">
      <c r="A11" s="39" t="s">
        <v>2979</v>
      </c>
      <c r="B11" s="39"/>
      <c r="C11" s="39">
        <v>17</v>
      </c>
      <c r="D11" s="39">
        <v>18</v>
      </c>
      <c r="E11" s="47" t="s">
        <v>2981</v>
      </c>
      <c r="F11" s="37" t="str">
        <f>F9</f>
        <v>自选两项属性分别+2/+1或自选三项属性+1</v>
      </c>
      <c r="G11" s="37" t="str">
        <f>G6</f>
        <v>中型</v>
      </c>
      <c r="H11" s="37" t="s">
        <v>79</v>
      </c>
      <c r="I11" s="37" t="s">
        <v>2985</v>
      </c>
      <c r="J11" s="38" t="s">
        <v>2971</v>
      </c>
      <c r="K11" s="37"/>
      <c r="L11" s="54" t="s">
        <v>3037</v>
      </c>
      <c r="M11" s="11" t="str">
        <f t="shared" ref="M11:AB11" si="10">""</f>
        <v/>
      </c>
      <c r="N11" s="11" t="str">
        <f t="shared" si="10"/>
        <v/>
      </c>
      <c r="O11" s="11" t="str">
        <f t="shared" si="10"/>
        <v/>
      </c>
      <c r="P11" s="11" t="str">
        <f t="shared" si="10"/>
        <v/>
      </c>
      <c r="Q11" s="11" t="str">
        <f t="shared" si="10"/>
        <v/>
      </c>
      <c r="R11" s="11" t="str">
        <f t="shared" si="10"/>
        <v/>
      </c>
      <c r="S11" s="11" t="str">
        <f t="shared" si="10"/>
        <v/>
      </c>
      <c r="T11" s="11" t="str">
        <f t="shared" si="10"/>
        <v/>
      </c>
      <c r="U11" s="11" t="str">
        <f t="shared" si="10"/>
        <v/>
      </c>
      <c r="V11" s="11" t="str">
        <f t="shared" si="10"/>
        <v/>
      </c>
      <c r="W11" s="11" t="str">
        <f t="shared" si="10"/>
        <v/>
      </c>
      <c r="X11" s="11" t="str">
        <f t="shared" si="10"/>
        <v/>
      </c>
      <c r="Y11" s="11" t="str">
        <f t="shared" si="10"/>
        <v/>
      </c>
      <c r="Z11" s="11" t="str">
        <f t="shared" si="10"/>
        <v/>
      </c>
      <c r="AA11" s="11" t="str">
        <f t="shared" si="10"/>
        <v/>
      </c>
      <c r="AB11" s="41" t="str">
        <f t="shared" si="10"/>
        <v/>
      </c>
      <c r="AD11" s="42" t="str">
        <f t="array" ref="AD11">INDEX(L:L,SMALL(IF(L2:L51&lt;&gt;"",ROW(2:51),52),ROW(L10)))&amp;""</f>
        <v>阿斯莫</v>
      </c>
      <c r="AE11" s="11" t="e">
        <f>INDEX(M2:V51,AE2,9)</f>
        <v>#REF!</v>
      </c>
      <c r="AF11" s="11" t="e">
        <f t="array" ref="AF11">INDEX(AE:AE,SMALL(IF(AE3:AE15&lt;&gt;"",ROW(3:15),16),ROW(AE10)))&amp;""</f>
        <v>#REF!</v>
      </c>
      <c r="AG11" s="50" t="e">
        <f>IF(AG10+1&gt;AJ3,IF(AI4+AJ10&gt;AJ4,"",AI4+AJ10),AG10+1)</f>
        <v>#REF!</v>
      </c>
      <c r="AH11" s="11" t="e">
        <f>INDEX(M54:AW159,AH4,AG11)</f>
        <v>#REF!</v>
      </c>
      <c r="AI11" s="11" t="e">
        <f>INDEX(M54:AW159,AH3,AG11)</f>
        <v>#REF!</v>
      </c>
      <c r="AJ11" s="41" t="e">
        <f>IF(AG9+1&gt;AJ3,AJ9+1,0)</f>
        <v>#REF!</v>
      </c>
      <c r="AK11" s="11" t="str">
        <f>IFERROR(IF(OR(AH15="",COUNTIF(AM2:AM15,AH15)),"",AH15),"")</f>
        <v/>
      </c>
      <c r="AL11" s="11" t="str" cm="1">
        <f t="array" ref="AL11">INDEX(AK:AK,SMALL(IF(AK2:AK17&lt;&gt;"",ROW(2:17),17),ROW(AK10)))&amp;""</f>
        <v/>
      </c>
      <c r="AM11" s="36"/>
      <c r="AN11" s="12" t="str">
        <f>IFERROR(VLOOKUP(AM11,AH6:AI21,2,0),"")</f>
        <v/>
      </c>
      <c r="AO11" s="44" t="str">
        <f>IF(AM11=0,"",COUNTIF(AM2:AM15,AM11))</f>
        <v/>
      </c>
      <c r="AP11" s="12"/>
    </row>
    <row r="12" spans="1:44" ht="14.55" customHeight="1" x14ac:dyDescent="0.25">
      <c r="A12" s="39" t="s">
        <v>2980</v>
      </c>
      <c r="B12" s="39"/>
      <c r="C12" s="39">
        <v>19</v>
      </c>
      <c r="D12" s="39">
        <v>21</v>
      </c>
      <c r="E12" s="49" t="s">
        <v>2982</v>
      </c>
      <c r="F12" s="37" t="s">
        <v>3016</v>
      </c>
      <c r="G12" s="37" t="str">
        <f>G6</f>
        <v>中型</v>
      </c>
      <c r="H12" s="37" t="s">
        <v>79</v>
      </c>
      <c r="I12" s="37" t="s">
        <v>3003</v>
      </c>
      <c r="J12" s="38" t="s">
        <v>2971</v>
      </c>
      <c r="K12" s="37"/>
      <c r="L12" s="54" t="s">
        <v>3038</v>
      </c>
      <c r="M12" s="11" t="str">
        <f t="shared" ref="M12:AB12" si="11">""</f>
        <v/>
      </c>
      <c r="N12" s="11" t="str">
        <f t="shared" si="11"/>
        <v/>
      </c>
      <c r="O12" s="11" t="str">
        <f t="shared" si="11"/>
        <v/>
      </c>
      <c r="P12" s="11" t="str">
        <f t="shared" si="11"/>
        <v/>
      </c>
      <c r="Q12" s="11" t="str">
        <f t="shared" si="11"/>
        <v/>
      </c>
      <c r="R12" s="11" t="str">
        <f t="shared" si="11"/>
        <v/>
      </c>
      <c r="S12" s="11" t="str">
        <f t="shared" si="11"/>
        <v/>
      </c>
      <c r="T12" s="11" t="str">
        <f t="shared" si="11"/>
        <v/>
      </c>
      <c r="U12" s="11" t="str">
        <f t="shared" si="11"/>
        <v/>
      </c>
      <c r="V12" s="11" t="str">
        <f t="shared" si="11"/>
        <v/>
      </c>
      <c r="W12" s="11" t="str">
        <f t="shared" si="11"/>
        <v/>
      </c>
      <c r="X12" s="11" t="str">
        <f t="shared" si="11"/>
        <v/>
      </c>
      <c r="Y12" s="11" t="str">
        <f t="shared" si="11"/>
        <v/>
      </c>
      <c r="Z12" s="11" t="str">
        <f t="shared" si="11"/>
        <v/>
      </c>
      <c r="AA12" s="11" t="str">
        <f t="shared" si="11"/>
        <v/>
      </c>
      <c r="AB12" s="41" t="str">
        <f t="shared" si="11"/>
        <v/>
      </c>
      <c r="AD12" s="42" t="str">
        <f t="array" ref="AD12">INDEX(L:L,SMALL(IF(L2:L51&lt;&gt;"",ROW(2:51),52),ROW(L11)))&amp;""</f>
        <v>费尔伯格人</v>
      </c>
      <c r="AE12" s="11" t="e">
        <f>INDEX(M2:V51,AE2,10)</f>
        <v>#REF!</v>
      </c>
      <c r="AF12" s="11" t="e">
        <f t="array" ref="AF12">INDEX(AE:AE,SMALL(IF(AE3:AE15&lt;&gt;"",ROW(3:15),16),ROW(AE11)))&amp;""</f>
        <v>#REF!</v>
      </c>
      <c r="AG12" s="50" t="e">
        <f>IF(AG11+1&gt;AJ3,IF(AI4+AJ11&gt;AJ4,"",AI4+AJ11),AG11+1)</f>
        <v>#REF!</v>
      </c>
      <c r="AH12" s="11" t="e">
        <f>INDEX(M54:AW159,AH4,AG12)</f>
        <v>#REF!</v>
      </c>
      <c r="AI12" s="11" t="e">
        <f>INDEX(M54:AW159,AH3,AG12)</f>
        <v>#REF!</v>
      </c>
      <c r="AJ12" s="41" t="e">
        <f>IF(AG11+1&gt;AJ3,AJ11+1,0)</f>
        <v>#REF!</v>
      </c>
      <c r="AK12" s="11" t="str">
        <f>IFERROR(IF(OR(AH16="",COUNTIF(AM2:AM15,AH16)),"",AH16),"")</f>
        <v/>
      </c>
      <c r="AL12" s="11" t="str" cm="1">
        <f t="array" ref="AL12">INDEX(AK:AK,SMALL(IF(AK2:AK17&lt;&gt;"",ROW(2:17),17),ROW(AK11)))&amp;""</f>
        <v/>
      </c>
      <c r="AM12" s="36"/>
      <c r="AN12" s="12" t="str">
        <f>IFERROR(VLOOKUP(AM12,AH6:AI21,2,0),"")</f>
        <v/>
      </c>
      <c r="AO12" s="44" t="str">
        <f>IF(AM12=0,"",COUNTIF(AM2:AM15,AM12))</f>
        <v/>
      </c>
      <c r="AP12" s="12"/>
    </row>
    <row r="13" spans="1:44" ht="14.55" customHeight="1" x14ac:dyDescent="0.25">
      <c r="A13" s="39" t="s">
        <v>2981</v>
      </c>
      <c r="B13" s="39"/>
      <c r="C13" s="39">
        <v>22</v>
      </c>
      <c r="D13" s="39">
        <v>24</v>
      </c>
      <c r="E13" s="55" t="s">
        <v>2983</v>
      </c>
      <c r="F13" s="37" t="s">
        <v>3010</v>
      </c>
      <c r="G13" s="37" t="str">
        <f>G6</f>
        <v>中型</v>
      </c>
      <c r="H13" s="37" t="s">
        <v>79</v>
      </c>
      <c r="I13" s="37" t="s">
        <v>3003</v>
      </c>
      <c r="J13" s="38" t="s">
        <v>2971</v>
      </c>
      <c r="K13" s="37"/>
      <c r="L13" s="54" t="s">
        <v>3039</v>
      </c>
      <c r="M13" s="11" t="str">
        <f t="shared" ref="M13:AB13" si="12">""</f>
        <v/>
      </c>
      <c r="N13" s="11" t="str">
        <f t="shared" si="12"/>
        <v/>
      </c>
      <c r="O13" s="11" t="str">
        <f t="shared" si="12"/>
        <v/>
      </c>
      <c r="P13" s="11" t="str">
        <f t="shared" si="12"/>
        <v/>
      </c>
      <c r="Q13" s="11" t="str">
        <f t="shared" si="12"/>
        <v/>
      </c>
      <c r="R13" s="11" t="str">
        <f t="shared" si="12"/>
        <v/>
      </c>
      <c r="S13" s="11" t="str">
        <f t="shared" si="12"/>
        <v/>
      </c>
      <c r="T13" s="11" t="str">
        <f t="shared" si="12"/>
        <v/>
      </c>
      <c r="U13" s="11" t="str">
        <f t="shared" si="12"/>
        <v/>
      </c>
      <c r="V13" s="11" t="str">
        <f t="shared" si="12"/>
        <v/>
      </c>
      <c r="W13" s="11" t="str">
        <f t="shared" si="12"/>
        <v/>
      </c>
      <c r="X13" s="11" t="str">
        <f t="shared" si="12"/>
        <v/>
      </c>
      <c r="Y13" s="11" t="str">
        <f t="shared" si="12"/>
        <v/>
      </c>
      <c r="Z13" s="11" t="str">
        <f t="shared" si="12"/>
        <v/>
      </c>
      <c r="AA13" s="11" t="str">
        <f t="shared" si="12"/>
        <v/>
      </c>
      <c r="AB13" s="41" t="str">
        <f t="shared" si="12"/>
        <v/>
      </c>
      <c r="AD13" s="42" t="str">
        <f t="array" ref="AD13">INDEX(L:L,SMALL(IF(L2:L51&lt;&gt;"",ROW(2:51),52),ROW(L12)))&amp;""</f>
        <v>歌利亚</v>
      </c>
      <c r="AE13" s="56" t="s">
        <v>3040</v>
      </c>
      <c r="AF13" s="11" t="e">
        <f t="array" ref="AF13">INDEX(AE:AE,SMALL(IF(AE3:AE15&lt;&gt;"",ROW(3:15),16),ROW(AE12)))&amp;""</f>
        <v>#REF!</v>
      </c>
      <c r="AG13" s="50" t="e">
        <f>IF(AG12+1&gt;AJ3,IF(AI4+AJ12&gt;AJ4,"",AI4+AJ12),AG12+1)</f>
        <v>#REF!</v>
      </c>
      <c r="AH13" s="11" t="e">
        <f>INDEX(M54:AW159,AH4,AG13)</f>
        <v>#REF!</v>
      </c>
      <c r="AI13" s="11" t="e">
        <f>INDEX(M54:AW159,AH3,AG13)</f>
        <v>#REF!</v>
      </c>
      <c r="AJ13" s="41" t="e">
        <f>IF(AG12+1&gt;AJ3,AJ12+1,0)</f>
        <v>#REF!</v>
      </c>
      <c r="AK13" s="11" t="str">
        <f>IFERROR(IF(OR(AH17="",COUNTIF(AM2:AM15,AH17)),"",AH17),"")</f>
        <v/>
      </c>
      <c r="AL13" s="11" t="str" cm="1">
        <f t="array" ref="AL13">INDEX(AK:AK,SMALL(IF(AK2:AK17&lt;&gt;"",ROW(2:17),17),ROW(AK12)))&amp;""</f>
        <v/>
      </c>
      <c r="AM13" s="36"/>
      <c r="AN13" s="12" t="str">
        <f>IFERROR(VLOOKUP(AM13,AH6:AI21,2,0),"")</f>
        <v/>
      </c>
      <c r="AO13" s="44" t="str">
        <f>IF(AM13=0,"",COUNTIF(AM2:AM15,AM13))</f>
        <v/>
      </c>
      <c r="AP13" s="12"/>
    </row>
    <row r="14" spans="1:44" ht="14.55" customHeight="1" x14ac:dyDescent="0.25">
      <c r="A14" s="40" t="s">
        <v>2982</v>
      </c>
      <c r="B14" s="40"/>
      <c r="C14" s="40">
        <v>25</v>
      </c>
      <c r="D14" s="40">
        <v>28</v>
      </c>
      <c r="E14" s="36" t="s">
        <v>2987</v>
      </c>
      <c r="F14" s="37" t="s">
        <v>3016</v>
      </c>
      <c r="G14" s="37" t="s">
        <v>217</v>
      </c>
      <c r="H14" s="37" t="s">
        <v>3041</v>
      </c>
      <c r="I14" s="37" t="s">
        <v>3042</v>
      </c>
      <c r="J14" s="38" t="s">
        <v>2971</v>
      </c>
      <c r="K14" s="37"/>
      <c r="L14" s="54" t="s">
        <v>3043</v>
      </c>
      <c r="M14" s="11" t="str">
        <f t="shared" ref="M14:AB14" si="13">""</f>
        <v/>
      </c>
      <c r="N14" s="11" t="str">
        <f t="shared" si="13"/>
        <v/>
      </c>
      <c r="O14" s="11" t="str">
        <f t="shared" si="13"/>
        <v/>
      </c>
      <c r="P14" s="11" t="str">
        <f t="shared" si="13"/>
        <v/>
      </c>
      <c r="Q14" s="11" t="str">
        <f t="shared" si="13"/>
        <v/>
      </c>
      <c r="R14" s="11" t="str">
        <f t="shared" si="13"/>
        <v/>
      </c>
      <c r="S14" s="11" t="str">
        <f t="shared" si="13"/>
        <v/>
      </c>
      <c r="T14" s="11" t="str">
        <f t="shared" si="13"/>
        <v/>
      </c>
      <c r="U14" s="11" t="str">
        <f t="shared" si="13"/>
        <v/>
      </c>
      <c r="V14" s="11" t="str">
        <f t="shared" si="13"/>
        <v/>
      </c>
      <c r="W14" s="11" t="str">
        <f t="shared" si="13"/>
        <v/>
      </c>
      <c r="X14" s="11" t="str">
        <f t="shared" si="13"/>
        <v/>
      </c>
      <c r="Y14" s="11" t="str">
        <f t="shared" si="13"/>
        <v/>
      </c>
      <c r="Z14" s="11" t="str">
        <f t="shared" si="13"/>
        <v/>
      </c>
      <c r="AA14" s="11" t="str">
        <f t="shared" si="13"/>
        <v/>
      </c>
      <c r="AB14" s="41" t="str">
        <f t="shared" si="13"/>
        <v/>
      </c>
      <c r="AD14" s="42" t="str">
        <f t="array" ref="AD14">INDEX(L:L,SMALL(IF(L2:L51&lt;&gt;"",ROW(2:51),52),ROW(L13)))&amp;""</f>
        <v>天狗</v>
      </c>
      <c r="AE14" s="56" t="s">
        <v>3044</v>
      </c>
      <c r="AF14" s="11" t="e">
        <f t="array" ref="AF14">INDEX(AE:AE,SMALL(IF(AE3:AE15&lt;&gt;"",ROW(3:15),16),ROW(AE13)))&amp;""</f>
        <v>#REF!</v>
      </c>
      <c r="AG14" s="50" t="e">
        <f>IF(AG13+1&gt;AJ3,IF(AI4+AJ13&gt;AJ4,"",AI4+AJ13),AG13+1)</f>
        <v>#REF!</v>
      </c>
      <c r="AH14" s="11" t="e">
        <f>INDEX(M54:AW159,AH4,AG14)</f>
        <v>#REF!</v>
      </c>
      <c r="AI14" s="11" t="e">
        <f>INDEX(M54:AW159,AH3,AG14)</f>
        <v>#REF!</v>
      </c>
      <c r="AJ14" s="41" t="e">
        <f>IF(AG13+1&gt;AJ3,AJ13+1,0)</f>
        <v>#REF!</v>
      </c>
      <c r="AK14" s="11" t="str">
        <f>IFERROR(IF(OR(AH18="",COUNTIF(AM2:AM15,AH18)),"",AH18),"")</f>
        <v/>
      </c>
      <c r="AL14" s="11" t="str" cm="1">
        <f t="array" ref="AL14">INDEX(AK:AK,SMALL(IF(AK2:AK17&lt;&gt;"",ROW(2:17),17),ROW(AK13)))&amp;""</f>
        <v/>
      </c>
      <c r="AM14" s="36"/>
      <c r="AN14" s="12" t="str">
        <f>IFERROR(VLOOKUP(AM14,AH6:AI21,2,0),"")</f>
        <v/>
      </c>
      <c r="AO14" s="44" t="str">
        <f>IF(AM14=0,"",COUNTIF(AM2:AM15,AM14))</f>
        <v/>
      </c>
      <c r="AP14" s="12"/>
    </row>
    <row r="15" spans="1:44" ht="14.55" customHeight="1" x14ac:dyDescent="0.25">
      <c r="A15" s="45" t="s">
        <v>2983</v>
      </c>
      <c r="B15" s="45"/>
      <c r="C15" s="45">
        <v>29</v>
      </c>
      <c r="D15" s="45">
        <v>31</v>
      </c>
      <c r="E15" s="36" t="s">
        <v>2988</v>
      </c>
      <c r="F15" s="37" t="s">
        <v>3045</v>
      </c>
      <c r="G15" s="37" t="str">
        <f>G14</f>
        <v>小型</v>
      </c>
      <c r="H15" s="37" t="s">
        <v>3041</v>
      </c>
      <c r="I15" s="37" t="s">
        <v>3042</v>
      </c>
      <c r="J15" s="38" t="s">
        <v>2971</v>
      </c>
      <c r="K15" s="37"/>
      <c r="L15" s="54" t="s">
        <v>3046</v>
      </c>
      <c r="M15" s="11" t="str">
        <f t="shared" ref="M15:AB15" si="14">""</f>
        <v/>
      </c>
      <c r="N15" s="11" t="str">
        <f t="shared" si="14"/>
        <v/>
      </c>
      <c r="O15" s="11" t="str">
        <f t="shared" si="14"/>
        <v/>
      </c>
      <c r="P15" s="11" t="str">
        <f t="shared" si="14"/>
        <v/>
      </c>
      <c r="Q15" s="11" t="str">
        <f t="shared" si="14"/>
        <v/>
      </c>
      <c r="R15" s="11" t="str">
        <f t="shared" si="14"/>
        <v/>
      </c>
      <c r="S15" s="11" t="str">
        <f t="shared" si="14"/>
        <v/>
      </c>
      <c r="T15" s="11" t="str">
        <f t="shared" si="14"/>
        <v/>
      </c>
      <c r="U15" s="11" t="str">
        <f t="shared" si="14"/>
        <v/>
      </c>
      <c r="V15" s="11" t="str">
        <f t="shared" si="14"/>
        <v/>
      </c>
      <c r="W15" s="11" t="str">
        <f t="shared" si="14"/>
        <v/>
      </c>
      <c r="X15" s="11" t="str">
        <f t="shared" si="14"/>
        <v/>
      </c>
      <c r="Y15" s="11" t="str">
        <f t="shared" si="14"/>
        <v/>
      </c>
      <c r="Z15" s="11" t="str">
        <f t="shared" si="14"/>
        <v/>
      </c>
      <c r="AA15" s="11" t="str">
        <f t="shared" si="14"/>
        <v/>
      </c>
      <c r="AB15" s="41" t="str">
        <f t="shared" si="14"/>
        <v/>
      </c>
      <c r="AD15" s="42" t="str">
        <f t="array" ref="AD15">INDEX(L:L,SMALL(IF(L2:L51&lt;&gt;"",ROW(2:51),52),ROW(L14)))&amp;""</f>
        <v>蜥蜴人</v>
      </c>
      <c r="AE15" s="56" t="s">
        <v>3047</v>
      </c>
      <c r="AG15" s="50" t="e">
        <f>IF(AG14+1&gt;AJ3,IF(AI4+AJ14&gt;AJ4,"",AI4+AJ14),AG14+1)</f>
        <v>#REF!</v>
      </c>
      <c r="AH15" s="11" t="e">
        <f>INDEX(M54:AW159,AH4,AG15)</f>
        <v>#REF!</v>
      </c>
      <c r="AI15" s="11" t="e">
        <f>INDEX(M54:AW159,AH3,AG15)</f>
        <v>#REF!</v>
      </c>
      <c r="AJ15" s="41" t="e">
        <f>IF(AG14+1&gt;AJ3,AJ14+1,0)</f>
        <v>#REF!</v>
      </c>
      <c r="AK15" s="11" t="str">
        <f>IFERROR(IF(OR(AH19="",COUNTIF(AM2:AM15,AH19)),"",AH19),"")</f>
        <v/>
      </c>
      <c r="AL15" s="11" t="str" cm="1">
        <f t="array" ref="AL15">INDEX(AK:AK,SMALL(IF(AK2:AK17&lt;&gt;"",ROW(2:17),17),ROW(AK14)))&amp;""</f>
        <v/>
      </c>
      <c r="AM15" s="36"/>
      <c r="AN15" s="12" t="str">
        <f>IFERROR(VLOOKUP(AM15,AH6:AI21,2,0),"")</f>
        <v/>
      </c>
      <c r="AO15" s="44" t="str">
        <f>IF(AM15=0,"",COUNTIF(AM2:AM15,AM15))</f>
        <v/>
      </c>
      <c r="AP15" s="12"/>
    </row>
    <row r="16" spans="1:44" ht="14.55" customHeight="1" x14ac:dyDescent="0.25">
      <c r="A16" s="57" t="s">
        <v>55</v>
      </c>
      <c r="B16" s="57"/>
      <c r="C16" s="57">
        <v>32</v>
      </c>
      <c r="D16" s="57">
        <v>34</v>
      </c>
      <c r="E16" s="58" t="s">
        <v>2989</v>
      </c>
      <c r="F16" s="37" t="s">
        <v>3010</v>
      </c>
      <c r="G16" s="37" t="str">
        <f>G14</f>
        <v>小型</v>
      </c>
      <c r="H16" s="37" t="s">
        <v>3041</v>
      </c>
      <c r="I16" s="37" t="s">
        <v>3042</v>
      </c>
      <c r="J16" s="38" t="s">
        <v>2971</v>
      </c>
      <c r="K16" s="37"/>
      <c r="L16" s="54" t="s">
        <v>3048</v>
      </c>
      <c r="M16" s="11" t="str">
        <f t="shared" ref="M16:AB16" si="15">""</f>
        <v/>
      </c>
      <c r="N16" s="11" t="str">
        <f t="shared" si="15"/>
        <v/>
      </c>
      <c r="O16" s="11" t="str">
        <f t="shared" si="15"/>
        <v/>
      </c>
      <c r="P16" s="11" t="str">
        <f t="shared" si="15"/>
        <v/>
      </c>
      <c r="Q16" s="11" t="str">
        <f t="shared" si="15"/>
        <v/>
      </c>
      <c r="R16" s="11" t="str">
        <f t="shared" si="15"/>
        <v/>
      </c>
      <c r="S16" s="11" t="str">
        <f t="shared" si="15"/>
        <v/>
      </c>
      <c r="T16" s="11" t="str">
        <f t="shared" si="15"/>
        <v/>
      </c>
      <c r="U16" s="11" t="str">
        <f t="shared" si="15"/>
        <v/>
      </c>
      <c r="V16" s="11" t="str">
        <f t="shared" si="15"/>
        <v/>
      </c>
      <c r="W16" s="11" t="str">
        <f t="shared" si="15"/>
        <v/>
      </c>
      <c r="X16" s="11" t="str">
        <f t="shared" si="15"/>
        <v/>
      </c>
      <c r="Y16" s="11" t="str">
        <f t="shared" si="15"/>
        <v/>
      </c>
      <c r="Z16" s="11" t="str">
        <f t="shared" si="15"/>
        <v/>
      </c>
      <c r="AA16" s="11" t="str">
        <f t="shared" si="15"/>
        <v/>
      </c>
      <c r="AB16" s="41" t="str">
        <f t="shared" si="15"/>
        <v/>
      </c>
      <c r="AD16" s="42" t="str">
        <f t="array" ref="AD16">INDEX(L:L,SMALL(IF(L2:L51&lt;&gt;"",ROW(2:51),52),ROW(L15)))&amp;""</f>
        <v>斑猫人</v>
      </c>
      <c r="AG16" s="50" t="e">
        <f>IF(AG15+1&gt;AJ3,IF(AI4+AJ15&gt;AJ4,"",AI4+AJ15),AG15+1)</f>
        <v>#REF!</v>
      </c>
      <c r="AH16" s="11" t="e">
        <f>INDEX(M54:AW159,AH4,AG16)</f>
        <v>#REF!</v>
      </c>
      <c r="AI16" s="11" t="e">
        <f>INDEX(M54:AW159,AH3,AG16)</f>
        <v>#REF!</v>
      </c>
      <c r="AJ16" s="41" t="e">
        <f>IF(AG15+1&gt;AJ3,AJ15+1,0)</f>
        <v>#REF!</v>
      </c>
      <c r="AK16" s="11" t="str">
        <f>IFERROR(IF(OR(AH20="",COUNTIF(AM2:AM15,AH20)),"",AH20),"")</f>
        <v/>
      </c>
      <c r="AL16" s="11" t="str" cm="1">
        <f t="array" ref="AL16">INDEX(AK:AK,SMALL(IF(AK2:AK17&lt;&gt;"",ROW(2:17),17),ROW(AK15)))&amp;""</f>
        <v/>
      </c>
      <c r="AM16" s="36" t="s">
        <v>3049</v>
      </c>
      <c r="AN16" s="12">
        <f>COUNTIF(AO2:AO15,"&gt;1")</f>
        <v>0</v>
      </c>
      <c r="AO16" s="44" t="s">
        <v>3050</v>
      </c>
      <c r="AP16" s="12"/>
    </row>
    <row r="17" spans="1:42" ht="14.55" customHeight="1" x14ac:dyDescent="0.25">
      <c r="A17" s="35" t="s">
        <v>2986</v>
      </c>
      <c r="B17" s="35">
        <v>3</v>
      </c>
      <c r="C17" s="35">
        <v>1</v>
      </c>
      <c r="D17" s="35">
        <v>3</v>
      </c>
      <c r="E17" s="49" t="s">
        <v>2990</v>
      </c>
      <c r="F17" s="37" t="s">
        <v>3010</v>
      </c>
      <c r="G17" s="37" t="str">
        <f>G14</f>
        <v>小型</v>
      </c>
      <c r="H17" s="37" t="s">
        <v>3041</v>
      </c>
      <c r="I17" s="37" t="s">
        <v>3042</v>
      </c>
      <c r="J17" s="38" t="s">
        <v>2971</v>
      </c>
      <c r="K17" s="37"/>
      <c r="L17" s="54" t="s">
        <v>3051</v>
      </c>
      <c r="M17" s="11" t="str">
        <f t="shared" ref="M17:AB17" si="16">""</f>
        <v/>
      </c>
      <c r="N17" s="11" t="str">
        <f t="shared" si="16"/>
        <v/>
      </c>
      <c r="O17" s="11" t="str">
        <f t="shared" si="16"/>
        <v/>
      </c>
      <c r="P17" s="11" t="str">
        <f t="shared" si="16"/>
        <v/>
      </c>
      <c r="Q17" s="11" t="str">
        <f t="shared" si="16"/>
        <v/>
      </c>
      <c r="R17" s="11" t="str">
        <f t="shared" si="16"/>
        <v/>
      </c>
      <c r="S17" s="11" t="str">
        <f t="shared" si="16"/>
        <v/>
      </c>
      <c r="T17" s="11" t="str">
        <f t="shared" si="16"/>
        <v/>
      </c>
      <c r="U17" s="11" t="str">
        <f t="shared" si="16"/>
        <v/>
      </c>
      <c r="V17" s="11" t="str">
        <f t="shared" si="16"/>
        <v/>
      </c>
      <c r="W17" s="11" t="str">
        <f t="shared" si="16"/>
        <v/>
      </c>
      <c r="X17" s="11" t="str">
        <f t="shared" si="16"/>
        <v/>
      </c>
      <c r="Y17" s="11" t="str">
        <f t="shared" si="16"/>
        <v/>
      </c>
      <c r="Z17" s="11" t="str">
        <f t="shared" si="16"/>
        <v/>
      </c>
      <c r="AA17" s="11" t="str">
        <f t="shared" si="16"/>
        <v/>
      </c>
      <c r="AB17" s="41" t="str">
        <f t="shared" si="16"/>
        <v/>
      </c>
      <c r="AD17" s="42" t="str">
        <f t="array" ref="AD17">INDEX(L:L,SMALL(IF(L2:L51&lt;&gt;"",ROW(2:51),52),ROW(L16)))&amp;""</f>
        <v>梭螺鱼人</v>
      </c>
      <c r="AE17" s="11" t="s">
        <v>3052</v>
      </c>
      <c r="AF17" s="11" t="s">
        <v>3053</v>
      </c>
      <c r="AG17" s="50" t="e">
        <f>IF(AG16+1&gt;AJ3,IF(AI4+AJ16&gt;AJ4,"",AI4+AJ16),AG16+1)</f>
        <v>#REF!</v>
      </c>
      <c r="AH17" s="11" t="e">
        <f>INDEX(M54:AW159,AH4,AG17)</f>
        <v>#REF!</v>
      </c>
      <c r="AI17" s="11" t="e">
        <f>INDEX(M54:AW159,AH3,AG17)</f>
        <v>#REF!</v>
      </c>
      <c r="AJ17" s="41" t="e">
        <f>IF(AG16+1&gt;AJ3,AJ16+1,0)</f>
        <v>#REF!</v>
      </c>
      <c r="AK17" s="52" t="str">
        <f>IFERROR(IF(OR(AH21="",COUNTIF(AM2:AM15,AH21)),"",AH21),"")</f>
        <v/>
      </c>
      <c r="AL17" s="52" t="str" cm="1">
        <f t="array" ref="AL17">INDEX(AK:AK,SMALL(IF(AK2:AK17&lt;&gt;"",ROW(2:17),17),ROW(AK16)))&amp;""</f>
        <v/>
      </c>
      <c r="AM17" s="36" t="s">
        <v>3054</v>
      </c>
      <c r="AN17" s="12">
        <f>COUNTIF(AN18:AN25,"&gt;1")</f>
        <v>0</v>
      </c>
      <c r="AO17" s="44" t="e">
        <f>IF(OR(AND(AG2&lt;5,AO21&gt;0),AO19+AO21&gt;2,AO21&gt;1),2,0)</f>
        <v>#REF!</v>
      </c>
      <c r="AP17" s="12"/>
    </row>
    <row r="18" spans="1:42" ht="14.55" customHeight="1" x14ac:dyDescent="0.25">
      <c r="A18" s="12" t="s">
        <v>2987</v>
      </c>
      <c r="B18" s="12"/>
      <c r="C18" s="12">
        <v>4</v>
      </c>
      <c r="D18" s="12">
        <v>4</v>
      </c>
      <c r="E18" s="49" t="s">
        <v>2991</v>
      </c>
      <c r="F18" s="37" t="s">
        <v>3016</v>
      </c>
      <c r="G18" s="37" t="str">
        <f>G14</f>
        <v>小型</v>
      </c>
      <c r="H18" s="37" t="s">
        <v>3041</v>
      </c>
      <c r="I18" s="37" t="s">
        <v>3042</v>
      </c>
      <c r="J18" s="38" t="s">
        <v>2971</v>
      </c>
      <c r="K18" s="37"/>
      <c r="L18" s="54" t="s">
        <v>3055</v>
      </c>
      <c r="M18" s="11" t="str">
        <f t="shared" ref="M18:AB18" si="17">""</f>
        <v/>
      </c>
      <c r="N18" s="11" t="str">
        <f t="shared" si="17"/>
        <v/>
      </c>
      <c r="O18" s="11" t="str">
        <f t="shared" si="17"/>
        <v/>
      </c>
      <c r="P18" s="11" t="str">
        <f t="shared" si="17"/>
        <v/>
      </c>
      <c r="Q18" s="11" t="str">
        <f t="shared" si="17"/>
        <v/>
      </c>
      <c r="R18" s="12" t="str">
        <f t="shared" si="17"/>
        <v/>
      </c>
      <c r="S18" s="12" t="str">
        <f t="shared" si="17"/>
        <v/>
      </c>
      <c r="T18" s="12" t="str">
        <f t="shared" si="17"/>
        <v/>
      </c>
      <c r="U18" s="12" t="str">
        <f t="shared" si="17"/>
        <v/>
      </c>
      <c r="V18" s="12" t="str">
        <f t="shared" si="17"/>
        <v/>
      </c>
      <c r="W18" s="12" t="str">
        <f t="shared" si="17"/>
        <v/>
      </c>
      <c r="X18" s="12" t="str">
        <f t="shared" si="17"/>
        <v/>
      </c>
      <c r="Y18" s="12" t="str">
        <f t="shared" si="17"/>
        <v/>
      </c>
      <c r="Z18" s="12" t="str">
        <f t="shared" si="17"/>
        <v/>
      </c>
      <c r="AA18" s="12" t="str">
        <f t="shared" si="17"/>
        <v/>
      </c>
      <c r="AB18" s="41" t="str">
        <f t="shared" si="17"/>
        <v/>
      </c>
      <c r="AD18" s="42" t="str" cm="1">
        <f t="array" ref="AD18">INDEX(L:L,SMALL(IF(L2:L51&lt;&gt;"",ROW(2:51),52),ROW(L17)))&amp;""</f>
        <v>地精</v>
      </c>
      <c r="AE18" s="52" t="e">
        <f>IF(AG4=0,"",COUNTIF(AE3:AE15,AG4))</f>
        <v>#REF!</v>
      </c>
      <c r="AF18" s="52" t="e">
        <f>IF(AND(AG4=0,OR(AG3=L2,AG3=L3,AG3=L4,AG3=L7,AG3=L24,AG3=L35,AG3=L50,AG3=L51)),1,"")</f>
        <v>#REF!</v>
      </c>
      <c r="AG18" s="50" t="e">
        <f>IF(AG17+1&gt;AJ3,IF(AI4+AJ17&gt;AJ4,"",AI4+AJ17),AG17+1)</f>
        <v>#REF!</v>
      </c>
      <c r="AH18" s="11" t="e">
        <f>INDEX(M54:AW159,AH4,AG18)</f>
        <v>#REF!</v>
      </c>
      <c r="AI18" s="11" t="e">
        <f>INDEX(M54:AW159,AH3,AG18)</f>
        <v>#REF!</v>
      </c>
      <c r="AJ18" s="41" t="e">
        <f>IF(AG17+1&gt;AJ3,AJ17+1,0)</f>
        <v>#REF!</v>
      </c>
      <c r="AM18" s="58" t="s">
        <v>3018</v>
      </c>
      <c r="AN18" s="12" t="e">
        <f>IF(AG3=L8,COUNTIF(AM2:AM15,"多才多艺")+COUNTIF(AM2:AM15,"木精灵武器训练")+COUNTIF(AM2:AM15,"轻捷步伐")+COUNTIF(AM2:AM15,"野性面具"),0)</f>
        <v>#REF!</v>
      </c>
      <c r="AO18" s="59" t="s">
        <v>3056</v>
      </c>
      <c r="AP18" s="60"/>
    </row>
    <row r="19" spans="1:42" ht="14.55" customHeight="1" x14ac:dyDescent="0.25">
      <c r="A19" s="12" t="s">
        <v>2988</v>
      </c>
      <c r="B19" s="12"/>
      <c r="C19" s="12">
        <v>5</v>
      </c>
      <c r="D19" s="12">
        <v>5</v>
      </c>
      <c r="E19" s="55" t="s">
        <v>2992</v>
      </c>
      <c r="F19" s="37" t="s">
        <v>3010</v>
      </c>
      <c r="G19" s="37" t="str">
        <f>G14</f>
        <v>小型</v>
      </c>
      <c r="H19" s="37" t="s">
        <v>3041</v>
      </c>
      <c r="I19" s="37" t="s">
        <v>3042</v>
      </c>
      <c r="J19" s="38" t="s">
        <v>2971</v>
      </c>
      <c r="K19" s="37"/>
      <c r="L19" s="54" t="s">
        <v>3057</v>
      </c>
      <c r="M19" s="11" t="str">
        <f t="shared" ref="M19:AB19" si="18">""</f>
        <v/>
      </c>
      <c r="N19" s="11" t="str">
        <f t="shared" si="18"/>
        <v/>
      </c>
      <c r="O19" s="11" t="str">
        <f t="shared" si="18"/>
        <v/>
      </c>
      <c r="P19" s="11" t="str">
        <f t="shared" si="18"/>
        <v/>
      </c>
      <c r="Q19" s="11" t="str">
        <f t="shared" si="18"/>
        <v/>
      </c>
      <c r="R19" s="11" t="str">
        <f t="shared" si="18"/>
        <v/>
      </c>
      <c r="S19" s="11" t="str">
        <f t="shared" si="18"/>
        <v/>
      </c>
      <c r="T19" s="11" t="str">
        <f t="shared" si="18"/>
        <v/>
      </c>
      <c r="U19" s="11" t="str">
        <f t="shared" si="18"/>
        <v/>
      </c>
      <c r="V19" s="11" t="str">
        <f t="shared" si="18"/>
        <v/>
      </c>
      <c r="W19" s="11" t="str">
        <f t="shared" si="18"/>
        <v/>
      </c>
      <c r="X19" s="11" t="str">
        <f t="shared" si="18"/>
        <v/>
      </c>
      <c r="Y19" s="11" t="str">
        <f t="shared" si="18"/>
        <v/>
      </c>
      <c r="Z19" s="11" t="str">
        <f t="shared" si="18"/>
        <v/>
      </c>
      <c r="AA19" s="11" t="str">
        <f t="shared" si="18"/>
        <v/>
      </c>
      <c r="AB19" s="41" t="str">
        <f t="shared" si="18"/>
        <v/>
      </c>
      <c r="AD19" s="42" t="str" cm="1">
        <f t="array" ref="AD19">INDEX(L:L,SMALL(IF(L2:L51&lt;&gt;"",ROW(2:51),52),ROW(L18)))&amp;""</f>
        <v>熊地精</v>
      </c>
      <c r="AG19" s="50" t="e">
        <f>IF(AG18+1&gt;AJ3,IF(AI4+AJ18&gt;AJ4,"",AI4+AJ18),AG18+1)</f>
        <v>#REF!</v>
      </c>
      <c r="AH19" s="11" t="e">
        <f>INDEX(M54:AW159,AH4,AG19)</f>
        <v>#REF!</v>
      </c>
      <c r="AI19" s="11" t="e">
        <f>INDEX(M54:AW159,AH3,AG19)</f>
        <v>#REF!</v>
      </c>
      <c r="AJ19" s="41" t="e">
        <f>IF(AG18+1&gt;AJ3,AJ18+1,0)</f>
        <v>#REF!</v>
      </c>
      <c r="AM19" s="58" t="s">
        <v>3058</v>
      </c>
      <c r="AN19" s="12" t="e">
        <f>IF(AG3=L8,COUNTIF(AM2:AM15,"多才多艺")+COUNTIF(AM2:AM15,"高等精灵武器训练")+COUNTIF(AM2:AM15,"戏法"),0)</f>
        <v>#REF!</v>
      </c>
      <c r="AO19" s="44" t="e">
        <f>IF(AG3=L28,COUNTIF(AM2:AM15,"蝠鲼滑翔")+COUNTIF(AM2:AM15,"灵活攀登")+COUNTIF(AM2:AM15,"水下适应"),0)</f>
        <v>#REF!</v>
      </c>
      <c r="AP19" s="12"/>
    </row>
    <row r="20" spans="1:42" ht="14.55" customHeight="1" x14ac:dyDescent="0.25">
      <c r="A20" s="48" t="s">
        <v>2989</v>
      </c>
      <c r="B20" s="48"/>
      <c r="C20" s="48">
        <v>6</v>
      </c>
      <c r="D20" s="48">
        <v>6</v>
      </c>
      <c r="E20" s="36" t="s">
        <v>2994</v>
      </c>
      <c r="F20" s="37" t="s">
        <v>3059</v>
      </c>
      <c r="G20" s="37" t="s">
        <v>101</v>
      </c>
      <c r="H20" s="37" t="s">
        <v>79</v>
      </c>
      <c r="I20" s="37" t="s">
        <v>2985</v>
      </c>
      <c r="J20" s="38" t="s">
        <v>2971</v>
      </c>
      <c r="K20" s="37"/>
      <c r="L20" s="54" t="s">
        <v>3060</v>
      </c>
      <c r="M20" s="11" t="str">
        <f t="shared" ref="M20:AB20" si="19">""</f>
        <v/>
      </c>
      <c r="N20" s="11" t="str">
        <f t="shared" si="19"/>
        <v/>
      </c>
      <c r="O20" s="11" t="str">
        <f t="shared" si="19"/>
        <v/>
      </c>
      <c r="P20" s="11" t="str">
        <f t="shared" si="19"/>
        <v/>
      </c>
      <c r="Q20" s="11" t="str">
        <f t="shared" si="19"/>
        <v/>
      </c>
      <c r="R20" s="11" t="str">
        <f t="shared" si="19"/>
        <v/>
      </c>
      <c r="S20" s="11" t="str">
        <f t="shared" si="19"/>
        <v/>
      </c>
      <c r="T20" s="11" t="str">
        <f t="shared" si="19"/>
        <v/>
      </c>
      <c r="U20" s="11" t="str">
        <f t="shared" si="19"/>
        <v/>
      </c>
      <c r="V20" s="11" t="str">
        <f t="shared" si="19"/>
        <v/>
      </c>
      <c r="W20" s="11" t="str">
        <f t="shared" si="19"/>
        <v/>
      </c>
      <c r="X20" s="11" t="str">
        <f t="shared" si="19"/>
        <v/>
      </c>
      <c r="Y20" s="11" t="str">
        <f t="shared" si="19"/>
        <v/>
      </c>
      <c r="Z20" s="11" t="str">
        <f t="shared" si="19"/>
        <v/>
      </c>
      <c r="AA20" s="11" t="str">
        <f t="shared" si="19"/>
        <v/>
      </c>
      <c r="AB20" s="41" t="str">
        <f t="shared" si="19"/>
        <v/>
      </c>
      <c r="AD20" s="42" t="str" cm="1">
        <f t="array" ref="AD20">INDEX(L:L,SMALL(IF(L2:L51&lt;&gt;"",ROW(2:51),52),ROW(L19)))&amp;""</f>
        <v>大地精</v>
      </c>
      <c r="AG20" s="50" t="e">
        <f>IF(AG19+1&gt;AJ3,IF(AI4+AJ19&gt;AJ4,"",AI4+AJ19),AG19+1)</f>
        <v>#REF!</v>
      </c>
      <c r="AH20" s="11" t="e">
        <f>INDEX(M54:AW159,AH4,AG20)</f>
        <v>#REF!</v>
      </c>
      <c r="AI20" s="11" t="e">
        <f>INDEX(M54:AW159,AH3,AG20)</f>
        <v>#REF!</v>
      </c>
      <c r="AJ20" s="41" t="e">
        <f>IF(AG19+1&gt;AJ3,AJ19+1,0)</f>
        <v>#REF!</v>
      </c>
      <c r="AM20" s="58" t="s">
        <v>3021</v>
      </c>
      <c r="AN20" s="12" t="e">
        <f>IF(AG3=L8,COUNTIF(AM2:AM15,"多才多艺")+COUNTIF(AM2:AM15,"卓尔魔法"),0)</f>
        <v>#REF!</v>
      </c>
      <c r="AO20" s="44" t="s">
        <v>3061</v>
      </c>
      <c r="AP20" s="12"/>
    </row>
    <row r="21" spans="1:42" ht="14.55" customHeight="1" x14ac:dyDescent="0.25">
      <c r="A21" s="40" t="s">
        <v>2990</v>
      </c>
      <c r="B21" s="40"/>
      <c r="C21" s="40">
        <v>7</v>
      </c>
      <c r="D21" s="40">
        <v>9</v>
      </c>
      <c r="E21" s="36" t="s">
        <v>2995</v>
      </c>
      <c r="F21" s="37" t="s">
        <v>3062</v>
      </c>
      <c r="G21" s="37" t="str">
        <f>G20</f>
        <v>中型</v>
      </c>
      <c r="H21" s="37" t="s">
        <v>79</v>
      </c>
      <c r="I21" s="37" t="s">
        <v>2985</v>
      </c>
      <c r="J21" s="38" t="s">
        <v>2971</v>
      </c>
      <c r="K21" s="37"/>
      <c r="L21" s="54" t="s">
        <v>3063</v>
      </c>
      <c r="M21" s="11" t="str">
        <f t="shared" ref="M21:AB21" si="20">""</f>
        <v/>
      </c>
      <c r="N21" s="11" t="str">
        <f t="shared" si="20"/>
        <v/>
      </c>
      <c r="O21" s="11" t="str">
        <f t="shared" si="20"/>
        <v/>
      </c>
      <c r="P21" s="11" t="str">
        <f t="shared" si="20"/>
        <v/>
      </c>
      <c r="Q21" s="11" t="str">
        <f t="shared" si="20"/>
        <v/>
      </c>
      <c r="R21" s="11" t="str">
        <f t="shared" si="20"/>
        <v/>
      </c>
      <c r="S21" s="11" t="str">
        <f t="shared" si="20"/>
        <v/>
      </c>
      <c r="T21" s="11" t="str">
        <f t="shared" si="20"/>
        <v/>
      </c>
      <c r="U21" s="11" t="str">
        <f t="shared" si="20"/>
        <v/>
      </c>
      <c r="V21" s="11" t="str">
        <f t="shared" si="20"/>
        <v/>
      </c>
      <c r="W21" s="11" t="str">
        <f t="shared" si="20"/>
        <v/>
      </c>
      <c r="X21" s="11" t="str">
        <f t="shared" si="20"/>
        <v/>
      </c>
      <c r="Y21" s="11" t="str">
        <f t="shared" si="20"/>
        <v/>
      </c>
      <c r="Z21" s="11" t="str">
        <f t="shared" si="20"/>
        <v/>
      </c>
      <c r="AA21" s="11" t="str">
        <f t="shared" si="20"/>
        <v/>
      </c>
      <c r="AB21" s="41" t="str">
        <f t="shared" si="20"/>
        <v/>
      </c>
      <c r="AD21" s="42" t="str" cm="1">
        <f t="array" ref="AD21">INDEX(L:L,SMALL(IF(L2:L51&lt;&gt;"",ROW(2:51),52),ROW(L20)))&amp;""</f>
        <v>狗头人</v>
      </c>
      <c r="AG21" s="61" t="e">
        <f>IF(AG20+1&gt;AJ3,IF(AI4+AJ20&gt;AJ4,"",AI4+AJ20),AG20+1)</f>
        <v>#REF!</v>
      </c>
      <c r="AH21" s="52" t="e">
        <f>INDEX(M54:AW159,AH4,AG21)</f>
        <v>#REF!</v>
      </c>
      <c r="AI21" s="52" t="e">
        <f>INDEX(M54:AW159,AH3,AG21)</f>
        <v>#REF!</v>
      </c>
      <c r="AJ21" s="62" t="e">
        <f>IF(AG20+1&gt;AJ3,AJ20+1,0)</f>
        <v>#REF!</v>
      </c>
      <c r="AM21" s="58" t="s">
        <v>3022</v>
      </c>
      <c r="AN21" s="12" t="e">
        <f>IF(AG3=L8,COUNTIF(AM2:AM15,"多才多艺")+COUNTIF(AM2:AM15,"敏锐感官")+COUNTIF(AM2:AM15,"游泳速度"),0)</f>
        <v>#REF!</v>
      </c>
      <c r="AO21" s="44" t="e">
        <f>IF(AG3=L28,COUNTIF(AM2:AM15,"斗殴附件")+COUNTIF(AM2:AM15,"甲壳")+COUNTIF(AM2:AM15,"酸液喷吐"),0)</f>
        <v>#REF!</v>
      </c>
      <c r="AP21" s="12"/>
    </row>
    <row r="22" spans="1:42" ht="14.55" customHeight="1" x14ac:dyDescent="0.25">
      <c r="A22" s="40" t="s">
        <v>2991</v>
      </c>
      <c r="B22" s="40"/>
      <c r="C22" s="40">
        <v>10</v>
      </c>
      <c r="D22" s="40">
        <v>12</v>
      </c>
      <c r="E22" s="49" t="s">
        <v>2996</v>
      </c>
      <c r="F22" s="37" t="s">
        <v>3064</v>
      </c>
      <c r="G22" s="37" t="str">
        <f>G20</f>
        <v>中型</v>
      </c>
      <c r="H22" s="37" t="s">
        <v>79</v>
      </c>
      <c r="I22" s="37" t="s">
        <v>3065</v>
      </c>
      <c r="J22" s="38" t="s">
        <v>2971</v>
      </c>
      <c r="K22" s="37"/>
      <c r="L22" s="54" t="s">
        <v>3066</v>
      </c>
      <c r="M22" s="11" t="str">
        <f t="shared" ref="M22:AB22" si="21">""</f>
        <v/>
      </c>
      <c r="N22" s="11" t="str">
        <f t="shared" si="21"/>
        <v/>
      </c>
      <c r="O22" s="11" t="str">
        <f t="shared" si="21"/>
        <v/>
      </c>
      <c r="P22" s="11" t="str">
        <f t="shared" si="21"/>
        <v/>
      </c>
      <c r="Q22" s="11" t="str">
        <f t="shared" si="21"/>
        <v/>
      </c>
      <c r="R22" s="11" t="str">
        <f t="shared" si="21"/>
        <v/>
      </c>
      <c r="S22" s="11" t="str">
        <f t="shared" si="21"/>
        <v/>
      </c>
      <c r="T22" s="11" t="str">
        <f t="shared" si="21"/>
        <v/>
      </c>
      <c r="U22" s="11" t="str">
        <f t="shared" si="21"/>
        <v/>
      </c>
      <c r="V22" s="11" t="str">
        <f t="shared" si="21"/>
        <v/>
      </c>
      <c r="W22" s="11" t="str">
        <f t="shared" si="21"/>
        <v/>
      </c>
      <c r="X22" s="11" t="str">
        <f t="shared" si="21"/>
        <v/>
      </c>
      <c r="Y22" s="11" t="str">
        <f t="shared" si="21"/>
        <v/>
      </c>
      <c r="Z22" s="11" t="str">
        <f t="shared" si="21"/>
        <v/>
      </c>
      <c r="AA22" s="11" t="str">
        <f t="shared" si="21"/>
        <v/>
      </c>
      <c r="AB22" s="41" t="str">
        <f t="shared" si="21"/>
        <v/>
      </c>
      <c r="AD22" s="42" t="str">
        <f t="array" ref="AD22">INDEX(L:L,SMALL(IF(L2:L51&lt;&gt;"",ROW(2:51),52),ROW(L21)))&amp;""</f>
        <v>兽人</v>
      </c>
      <c r="AM22" s="58" t="s">
        <v>3028</v>
      </c>
      <c r="AN22" s="12" t="e">
        <f>IF(AG3=L10,COUNTIF(AM2:AM15,"地狱遗赠")+COUNTIF(AM2:AM15,"魔鬼之舌")+COUNTIF(AM2:AM15,"地狱之火")+COUNTIF(AM2:AM15,"飞翼"),0)</f>
        <v>#REF!</v>
      </c>
      <c r="AO22" s="44"/>
      <c r="AP22" s="12"/>
    </row>
    <row r="23" spans="1:42" ht="14.55" customHeight="1" x14ac:dyDescent="0.25">
      <c r="A23" s="45" t="s">
        <v>2992</v>
      </c>
      <c r="B23" s="45"/>
      <c r="C23" s="45">
        <v>13</v>
      </c>
      <c r="D23" s="45">
        <v>14</v>
      </c>
      <c r="E23" s="49" t="s">
        <v>2997</v>
      </c>
      <c r="F23" s="37" t="s">
        <v>3067</v>
      </c>
      <c r="G23" s="37" t="str">
        <f>G20</f>
        <v>中型</v>
      </c>
      <c r="H23" s="37" t="s">
        <v>79</v>
      </c>
      <c r="I23" s="37" t="s">
        <v>2985</v>
      </c>
      <c r="J23" s="38" t="s">
        <v>2971</v>
      </c>
      <c r="K23" s="37"/>
      <c r="L23" s="54" t="s">
        <v>3068</v>
      </c>
      <c r="M23" s="11" t="str">
        <f t="shared" ref="M23:AB23" si="22">""</f>
        <v/>
      </c>
      <c r="N23" s="11" t="str">
        <f t="shared" si="22"/>
        <v/>
      </c>
      <c r="O23" s="11" t="str">
        <f t="shared" si="22"/>
        <v/>
      </c>
      <c r="P23" s="11" t="str">
        <f t="shared" si="22"/>
        <v/>
      </c>
      <c r="Q23" s="11" t="str">
        <f t="shared" si="22"/>
        <v/>
      </c>
      <c r="R23" s="11" t="str">
        <f t="shared" si="22"/>
        <v/>
      </c>
      <c r="S23" s="11" t="str">
        <f t="shared" si="22"/>
        <v/>
      </c>
      <c r="T23" s="11" t="str">
        <f t="shared" si="22"/>
        <v/>
      </c>
      <c r="U23" s="11" t="str">
        <f t="shared" si="22"/>
        <v/>
      </c>
      <c r="V23" s="11" t="str">
        <f t="shared" si="22"/>
        <v/>
      </c>
      <c r="W23" s="11" t="str">
        <f t="shared" si="22"/>
        <v/>
      </c>
      <c r="X23" s="11" t="str">
        <f t="shared" si="22"/>
        <v/>
      </c>
      <c r="Y23" s="11" t="str">
        <f t="shared" si="22"/>
        <v/>
      </c>
      <c r="Z23" s="11" t="str">
        <f t="shared" si="22"/>
        <v/>
      </c>
      <c r="AA23" s="11" t="str">
        <f t="shared" si="22"/>
        <v/>
      </c>
      <c r="AB23" s="41" t="str">
        <f t="shared" si="22"/>
        <v/>
      </c>
      <c r="AD23" s="42" t="str">
        <f t="array" ref="AD23">INDEX(L:L,SMALL(IF(L2:L51&lt;&gt;"",ROW(2:51),52),ROW(L22)))&amp;""</f>
        <v>原体蛇人</v>
      </c>
      <c r="AM23" s="63" t="s">
        <v>3037</v>
      </c>
      <c r="AN23" s="11" t="e">
        <f>IF(AG3=L11,COUNTIF(AM2:AM15,"死灵环绕")+COUNTIF(AM2:AM15,"光辉焚化")+COUNTIF(AM2:AM15,"光辉灵魂"),0)</f>
        <v>#REF!</v>
      </c>
      <c r="AO23" s="41"/>
    </row>
    <row r="24" spans="1:42" ht="14.55" customHeight="1" x14ac:dyDescent="0.25">
      <c r="A24" s="35" t="s">
        <v>2994</v>
      </c>
      <c r="B24" s="35">
        <v>4</v>
      </c>
      <c r="C24" s="35">
        <v>1</v>
      </c>
      <c r="D24" s="35">
        <v>0</v>
      </c>
      <c r="E24" s="49" t="s">
        <v>2998</v>
      </c>
      <c r="F24" s="37" t="s">
        <v>3069</v>
      </c>
      <c r="G24" s="37" t="str">
        <f>G20</f>
        <v>中型</v>
      </c>
      <c r="H24" s="37" t="s">
        <v>79</v>
      </c>
      <c r="I24" s="37" t="s">
        <v>2985</v>
      </c>
      <c r="J24" s="38" t="s">
        <v>2971</v>
      </c>
      <c r="K24" s="37"/>
      <c r="L24" s="47" t="s">
        <v>3070</v>
      </c>
      <c r="M24" s="39" t="s">
        <v>3071</v>
      </c>
      <c r="N24" s="39" t="s">
        <v>3072</v>
      </c>
      <c r="O24" s="11" t="str">
        <f t="shared" ref="O24:AB24" si="23">""</f>
        <v/>
      </c>
      <c r="P24" s="11" t="str">
        <f t="shared" si="23"/>
        <v/>
      </c>
      <c r="Q24" s="11" t="str">
        <f t="shared" si="23"/>
        <v/>
      </c>
      <c r="R24" s="11" t="str">
        <f t="shared" si="23"/>
        <v/>
      </c>
      <c r="S24" s="11" t="str">
        <f t="shared" si="23"/>
        <v/>
      </c>
      <c r="T24" s="11" t="str">
        <f t="shared" si="23"/>
        <v/>
      </c>
      <c r="U24" s="11" t="str">
        <f t="shared" si="23"/>
        <v/>
      </c>
      <c r="V24" s="11" t="str">
        <f t="shared" si="23"/>
        <v/>
      </c>
      <c r="W24" s="11" t="str">
        <f t="shared" si="23"/>
        <v/>
      </c>
      <c r="X24" s="11" t="str">
        <f t="shared" si="23"/>
        <v/>
      </c>
      <c r="Y24" s="11" t="str">
        <f t="shared" si="23"/>
        <v/>
      </c>
      <c r="Z24" s="11" t="str">
        <f t="shared" si="23"/>
        <v/>
      </c>
      <c r="AA24" s="11" t="str">
        <f t="shared" si="23"/>
        <v/>
      </c>
      <c r="AB24" s="41" t="str">
        <f t="shared" si="23"/>
        <v/>
      </c>
      <c r="AD24" s="42" t="str">
        <f t="array" ref="AD24">INDEX(L:L,SMALL(IF(L2:L51&lt;&gt;"",ROW(2:51),52),ROW(L23)))&amp;""</f>
        <v>吉斯人</v>
      </c>
      <c r="AM24" s="50" t="s">
        <v>3063</v>
      </c>
      <c r="AN24" s="11" t="e">
        <f>IF(AG3=L21,COUNTIF(AM2:AM15,"狡猾")+COUNTIF(AM2:AM15,"反抗")+COUNTIF(AM2:AM15,"龙族术法"),0)</f>
        <v>#REF!</v>
      </c>
      <c r="AO24" s="41"/>
    </row>
    <row r="25" spans="1:42" ht="14.55" customHeight="1" x14ac:dyDescent="0.25">
      <c r="A25" s="12" t="s">
        <v>2995</v>
      </c>
      <c r="B25" s="12"/>
      <c r="C25" s="12">
        <v>1</v>
      </c>
      <c r="D25" s="12">
        <v>2</v>
      </c>
      <c r="E25" s="49" t="s">
        <v>2999</v>
      </c>
      <c r="F25" s="37" t="s">
        <v>3073</v>
      </c>
      <c r="G25" s="37" t="str">
        <f>G20</f>
        <v>中型</v>
      </c>
      <c r="H25" s="37" t="s">
        <v>79</v>
      </c>
      <c r="I25" s="37" t="s">
        <v>2985</v>
      </c>
      <c r="J25" s="38" t="s">
        <v>2971</v>
      </c>
      <c r="K25" s="37"/>
      <c r="L25" s="64" t="s">
        <v>3074</v>
      </c>
      <c r="M25" s="11" t="str">
        <f t="shared" ref="M25:AB25" si="24">""</f>
        <v/>
      </c>
      <c r="N25" s="11" t="str">
        <f t="shared" si="24"/>
        <v/>
      </c>
      <c r="O25" s="11" t="str">
        <f t="shared" si="24"/>
        <v/>
      </c>
      <c r="P25" s="11" t="str">
        <f t="shared" si="24"/>
        <v/>
      </c>
      <c r="Q25" s="11" t="str">
        <f t="shared" si="24"/>
        <v/>
      </c>
      <c r="R25" s="11" t="str">
        <f t="shared" si="24"/>
        <v/>
      </c>
      <c r="S25" s="11" t="str">
        <f t="shared" si="24"/>
        <v/>
      </c>
      <c r="T25" s="11" t="str">
        <f t="shared" si="24"/>
        <v/>
      </c>
      <c r="U25" s="11" t="str">
        <f t="shared" si="24"/>
        <v/>
      </c>
      <c r="V25" s="11" t="str">
        <f t="shared" si="24"/>
        <v/>
      </c>
      <c r="W25" s="11" t="str">
        <f t="shared" si="24"/>
        <v/>
      </c>
      <c r="X25" s="11" t="str">
        <f t="shared" si="24"/>
        <v/>
      </c>
      <c r="Y25" s="11" t="str">
        <f t="shared" si="24"/>
        <v/>
      </c>
      <c r="Z25" s="11" t="str">
        <f t="shared" si="24"/>
        <v/>
      </c>
      <c r="AA25" s="11" t="str">
        <f t="shared" si="24"/>
        <v/>
      </c>
      <c r="AB25" s="41" t="str">
        <f t="shared" si="24"/>
        <v/>
      </c>
      <c r="AD25" s="42" t="str">
        <f t="array" ref="AD25">INDEX(L:L,SMALL(IF(L2:L51&lt;&gt;"",ROW(2:51),52),ROW(L24)))&amp;""</f>
        <v>人马</v>
      </c>
      <c r="AM25" s="61" t="s">
        <v>3075</v>
      </c>
      <c r="AN25" s="52" t="e">
        <f>IF(AG3=L32,COUNTIF(AM2:AM15,"兽皮")+COUNTIF(AM2:AM15,"长牙")+COUNTIF(AM2:AM15,"迅捷")+COUNTIF(AM2:AM15,"猎食"),0)</f>
        <v>#REF!</v>
      </c>
      <c r="AO25" s="62"/>
    </row>
    <row r="26" spans="1:42" ht="14.55" customHeight="1" x14ac:dyDescent="0.25">
      <c r="A26" s="40" t="s">
        <v>2996</v>
      </c>
      <c r="B26" s="40"/>
      <c r="C26" s="40" t="e">
        <f>IF(AG3=L9,5,3)</f>
        <v>#REF!</v>
      </c>
      <c r="D26" s="40" t="e">
        <f>IF(AG3=L9,8,6)</f>
        <v>#REF!</v>
      </c>
      <c r="E26" s="49" t="s">
        <v>3000</v>
      </c>
      <c r="F26" s="37" t="s">
        <v>2968</v>
      </c>
      <c r="G26" s="37" t="str">
        <f>G20</f>
        <v>中型</v>
      </c>
      <c r="H26" s="37" t="s">
        <v>79</v>
      </c>
      <c r="I26" s="37" t="s">
        <v>2985</v>
      </c>
      <c r="J26" s="38" t="s">
        <v>2971</v>
      </c>
      <c r="K26" s="37"/>
      <c r="L26" s="64" t="s">
        <v>3076</v>
      </c>
      <c r="M26" s="11" t="str">
        <f t="shared" ref="M26:AB26" si="25">""</f>
        <v/>
      </c>
      <c r="N26" s="11" t="str">
        <f t="shared" si="25"/>
        <v/>
      </c>
      <c r="O26" s="11" t="str">
        <f t="shared" si="25"/>
        <v/>
      </c>
      <c r="P26" s="11" t="str">
        <f t="shared" si="25"/>
        <v/>
      </c>
      <c r="Q26" s="11" t="str">
        <f t="shared" si="25"/>
        <v/>
      </c>
      <c r="R26" s="11" t="str">
        <f t="shared" si="25"/>
        <v/>
      </c>
      <c r="S26" s="11" t="str">
        <f t="shared" si="25"/>
        <v/>
      </c>
      <c r="T26" s="11" t="str">
        <f t="shared" si="25"/>
        <v/>
      </c>
      <c r="U26" s="11" t="str">
        <f t="shared" si="25"/>
        <v/>
      </c>
      <c r="V26" s="11" t="str">
        <f t="shared" si="25"/>
        <v/>
      </c>
      <c r="W26" s="11" t="str">
        <f t="shared" si="25"/>
        <v/>
      </c>
      <c r="X26" s="11" t="str">
        <f t="shared" si="25"/>
        <v/>
      </c>
      <c r="Y26" s="11" t="str">
        <f t="shared" si="25"/>
        <v/>
      </c>
      <c r="Z26" s="11" t="str">
        <f t="shared" si="25"/>
        <v/>
      </c>
      <c r="AA26" s="11" t="str">
        <f t="shared" si="25"/>
        <v/>
      </c>
      <c r="AB26" s="41" t="str">
        <f t="shared" si="25"/>
        <v/>
      </c>
      <c r="AD26" s="42" t="str">
        <f t="array" ref="AD26">INDEX(L:L,SMALL(IF(L2:L51&lt;&gt;"",ROW(2:51),52),ROW(L25)))&amp;""</f>
        <v>牛头人</v>
      </c>
    </row>
    <row r="27" spans="1:42" ht="14.55" customHeight="1" x14ac:dyDescent="0.25">
      <c r="A27" s="40" t="s">
        <v>2997</v>
      </c>
      <c r="B27" s="40"/>
      <c r="C27" s="40">
        <v>7</v>
      </c>
      <c r="D27" s="40">
        <v>11</v>
      </c>
      <c r="E27" s="36" t="s">
        <v>3004</v>
      </c>
      <c r="F27" s="37" t="s">
        <v>3077</v>
      </c>
      <c r="G27" s="37" t="s">
        <v>101</v>
      </c>
      <c r="H27" s="37" t="s">
        <v>79</v>
      </c>
      <c r="I27" s="37" t="s">
        <v>3078</v>
      </c>
      <c r="J27" s="38" t="s">
        <v>2971</v>
      </c>
      <c r="K27" s="37"/>
      <c r="L27" s="64" t="s">
        <v>3079</v>
      </c>
      <c r="M27" s="11" t="str">
        <f t="shared" ref="M27:AB27" si="26">""</f>
        <v/>
      </c>
      <c r="N27" s="11" t="str">
        <f t="shared" si="26"/>
        <v/>
      </c>
      <c r="O27" s="11" t="str">
        <f t="shared" si="26"/>
        <v/>
      </c>
      <c r="P27" s="11" t="str">
        <f t="shared" si="26"/>
        <v/>
      </c>
      <c r="Q27" s="11" t="str">
        <f t="shared" si="26"/>
        <v/>
      </c>
      <c r="R27" s="11" t="str">
        <f t="shared" si="26"/>
        <v/>
      </c>
      <c r="S27" s="11" t="str">
        <f t="shared" si="26"/>
        <v/>
      </c>
      <c r="T27" s="11" t="str">
        <f t="shared" si="26"/>
        <v/>
      </c>
      <c r="U27" s="11" t="str">
        <f t="shared" si="26"/>
        <v/>
      </c>
      <c r="V27" s="11" t="str">
        <f t="shared" si="26"/>
        <v/>
      </c>
      <c r="W27" s="11" t="str">
        <f t="shared" si="26"/>
        <v/>
      </c>
      <c r="X27" s="11" t="str">
        <f t="shared" si="26"/>
        <v/>
      </c>
      <c r="Y27" s="11" t="str">
        <f t="shared" si="26"/>
        <v/>
      </c>
      <c r="Z27" s="11" t="str">
        <f t="shared" si="26"/>
        <v/>
      </c>
      <c r="AA27" s="11" t="str">
        <f t="shared" si="26"/>
        <v/>
      </c>
      <c r="AB27" s="41" t="str">
        <f t="shared" si="26"/>
        <v/>
      </c>
      <c r="AD27" s="42" t="str">
        <f t="array" ref="AD27">INDEX(L:L,SMALL(IF(L2:L51&lt;&gt;"",ROW(2:51),52),ROW(L26)))&amp;""</f>
        <v>象族</v>
      </c>
    </row>
    <row r="28" spans="1:42" ht="14.55" customHeight="1" x14ac:dyDescent="0.25">
      <c r="A28" s="40" t="s">
        <v>2998</v>
      </c>
      <c r="B28" s="40"/>
      <c r="C28" s="40">
        <v>12</v>
      </c>
      <c r="D28" s="40">
        <v>15</v>
      </c>
      <c r="E28" s="55" t="s">
        <v>3005</v>
      </c>
      <c r="F28" s="37" t="s">
        <v>3080</v>
      </c>
      <c r="G28" s="37" t="str">
        <f>G27</f>
        <v>中型</v>
      </c>
      <c r="H28" s="37" t="s">
        <v>79</v>
      </c>
      <c r="I28" s="37" t="s">
        <v>3078</v>
      </c>
      <c r="J28" s="38" t="s">
        <v>2971</v>
      </c>
      <c r="K28" s="37"/>
      <c r="L28" s="64" t="s">
        <v>3081</v>
      </c>
      <c r="M28" s="11" t="str">
        <f t="shared" ref="M28:AB28" si="27">""</f>
        <v/>
      </c>
      <c r="N28" s="11" t="str">
        <f t="shared" si="27"/>
        <v/>
      </c>
      <c r="O28" s="11" t="str">
        <f t="shared" si="27"/>
        <v/>
      </c>
      <c r="P28" s="11" t="str">
        <f t="shared" si="27"/>
        <v/>
      </c>
      <c r="Q28" s="11" t="str">
        <f t="shared" si="27"/>
        <v/>
      </c>
      <c r="R28" s="11" t="str">
        <f t="shared" si="27"/>
        <v/>
      </c>
      <c r="S28" s="11" t="str">
        <f t="shared" si="27"/>
        <v/>
      </c>
      <c r="T28" s="11" t="str">
        <f t="shared" si="27"/>
        <v/>
      </c>
      <c r="U28" s="11" t="str">
        <f t="shared" si="27"/>
        <v/>
      </c>
      <c r="V28" s="11" t="str">
        <f t="shared" si="27"/>
        <v/>
      </c>
      <c r="W28" s="11" t="str">
        <f t="shared" si="27"/>
        <v/>
      </c>
      <c r="X28" s="11" t="str">
        <f t="shared" si="27"/>
        <v/>
      </c>
      <c r="Y28" s="11" t="str">
        <f t="shared" si="27"/>
        <v/>
      </c>
      <c r="Z28" s="11" t="str">
        <f t="shared" si="27"/>
        <v/>
      </c>
      <c r="AA28" s="11" t="str">
        <f t="shared" si="27"/>
        <v/>
      </c>
      <c r="AB28" s="41" t="str">
        <f t="shared" si="27"/>
        <v/>
      </c>
      <c r="AD28" s="42" t="str" cm="1">
        <f t="array" ref="AD28">INDEX(L:L,SMALL(IF(L2:L51&lt;&gt;"",ROW(2:51),52),ROW(L27)))&amp;""</f>
        <v>析米克混生体</v>
      </c>
    </row>
    <row r="29" spans="1:42" ht="14.55" customHeight="1" x14ac:dyDescent="0.25">
      <c r="A29" s="40" t="s">
        <v>2999</v>
      </c>
      <c r="B29" s="40"/>
      <c r="C29" s="40">
        <v>16</v>
      </c>
      <c r="D29" s="40">
        <v>19</v>
      </c>
      <c r="E29" s="55" t="s">
        <v>3006</v>
      </c>
      <c r="F29" s="37" t="s">
        <v>3082</v>
      </c>
      <c r="G29" s="37" t="str">
        <f>G27</f>
        <v>中型</v>
      </c>
      <c r="H29" s="37" t="s">
        <v>79</v>
      </c>
      <c r="I29" s="37" t="s">
        <v>3078</v>
      </c>
      <c r="J29" s="38" t="s">
        <v>2971</v>
      </c>
      <c r="K29" s="37"/>
      <c r="L29" s="64" t="s">
        <v>3083</v>
      </c>
      <c r="M29" s="11" t="str">
        <f t="shared" ref="M29:AB29" si="28">""</f>
        <v/>
      </c>
      <c r="N29" s="11" t="str">
        <f t="shared" si="28"/>
        <v/>
      </c>
      <c r="O29" s="11" t="str">
        <f t="shared" si="28"/>
        <v/>
      </c>
      <c r="P29" s="11" t="str">
        <f t="shared" si="28"/>
        <v/>
      </c>
      <c r="Q29" s="11" t="str">
        <f t="shared" si="28"/>
        <v/>
      </c>
      <c r="R29" s="11" t="str">
        <f t="shared" si="28"/>
        <v/>
      </c>
      <c r="S29" s="11" t="str">
        <f t="shared" si="28"/>
        <v/>
      </c>
      <c r="T29" s="11" t="str">
        <f t="shared" si="28"/>
        <v/>
      </c>
      <c r="U29" s="11" t="str">
        <f t="shared" si="28"/>
        <v/>
      </c>
      <c r="V29" s="11" t="str">
        <f t="shared" si="28"/>
        <v/>
      </c>
      <c r="W29" s="11" t="str">
        <f t="shared" si="28"/>
        <v/>
      </c>
      <c r="X29" s="11" t="str">
        <f t="shared" si="28"/>
        <v/>
      </c>
      <c r="Y29" s="11" t="str">
        <f t="shared" si="28"/>
        <v/>
      </c>
      <c r="Z29" s="11" t="str">
        <f t="shared" si="28"/>
        <v/>
      </c>
      <c r="AA29" s="11" t="str">
        <f t="shared" si="28"/>
        <v/>
      </c>
      <c r="AB29" s="41" t="str">
        <f t="shared" si="28"/>
        <v/>
      </c>
      <c r="AD29" s="42" t="str">
        <f t="array" ref="AD29">INDEX(L:L,SMALL(IF(L2:L51&lt;&gt;"",ROW(2:51),52),ROW(L28)))&amp;""</f>
        <v>维多肯</v>
      </c>
    </row>
    <row r="30" spans="1:42" ht="14.55" customHeight="1" x14ac:dyDescent="0.25">
      <c r="A30" s="40" t="s">
        <v>3000</v>
      </c>
      <c r="B30" s="40"/>
      <c r="C30" s="40">
        <v>20</v>
      </c>
      <c r="D30" s="40">
        <v>23</v>
      </c>
      <c r="E30" s="65" t="s">
        <v>3007</v>
      </c>
      <c r="F30" s="37" t="s">
        <v>2984</v>
      </c>
      <c r="G30" s="37" t="str">
        <f>G27</f>
        <v>中型</v>
      </c>
      <c r="H30" s="37" t="s">
        <v>79</v>
      </c>
      <c r="I30" s="37" t="s">
        <v>2985</v>
      </c>
      <c r="J30" s="38" t="s">
        <v>2971</v>
      </c>
      <c r="K30" s="37"/>
      <c r="L30" s="49" t="s">
        <v>3084</v>
      </c>
      <c r="M30" s="11" t="str">
        <f t="shared" ref="M30:AB30" si="29">""</f>
        <v/>
      </c>
      <c r="N30" s="11" t="str">
        <f t="shared" si="29"/>
        <v/>
      </c>
      <c r="O30" s="11" t="str">
        <f t="shared" si="29"/>
        <v/>
      </c>
      <c r="P30" s="11" t="str">
        <f t="shared" si="29"/>
        <v/>
      </c>
      <c r="Q30" s="11" t="str">
        <f t="shared" si="29"/>
        <v/>
      </c>
      <c r="R30" s="11" t="str">
        <f t="shared" si="29"/>
        <v/>
      </c>
      <c r="S30" s="11" t="str">
        <f t="shared" si="29"/>
        <v/>
      </c>
      <c r="T30" s="11" t="str">
        <f t="shared" si="29"/>
        <v/>
      </c>
      <c r="U30" s="11" t="str">
        <f t="shared" si="29"/>
        <v/>
      </c>
      <c r="V30" s="11" t="str">
        <f t="shared" si="29"/>
        <v/>
      </c>
      <c r="W30" s="11" t="str">
        <f t="shared" si="29"/>
        <v/>
      </c>
      <c r="X30" s="11" t="str">
        <f t="shared" si="29"/>
        <v/>
      </c>
      <c r="Y30" s="11" t="str">
        <f t="shared" si="29"/>
        <v/>
      </c>
      <c r="Z30" s="11" t="str">
        <f t="shared" si="29"/>
        <v/>
      </c>
      <c r="AA30" s="11" t="str">
        <f t="shared" si="29"/>
        <v/>
      </c>
      <c r="AB30" s="41" t="str">
        <f t="shared" si="29"/>
        <v/>
      </c>
      <c r="AD30" s="42" t="str">
        <f t="array" ref="AD30">INDEX(L:L,SMALL(IF(L2:L51&lt;&gt;"",ROW(2:51),52),ROW(L29)))&amp;""</f>
        <v>幻身灵</v>
      </c>
    </row>
    <row r="31" spans="1:42" ht="14.55" customHeight="1" x14ac:dyDescent="0.25">
      <c r="A31" s="35" t="s">
        <v>3004</v>
      </c>
      <c r="B31" s="35">
        <v>5</v>
      </c>
      <c r="C31" s="35">
        <v>1</v>
      </c>
      <c r="D31" s="35">
        <f>IF(COUNTIF(O6:Q6,AG4),1,IF(COUNTIF(M6:N6,AG4),2,3))</f>
        <v>3</v>
      </c>
      <c r="E31" s="65" t="s">
        <v>3008</v>
      </c>
      <c r="F31" s="37" t="str">
        <f>F30</f>
        <v>自选两项属性分别+2/+1或自选三项属性+1</v>
      </c>
      <c r="G31" s="37" t="str">
        <f>G27</f>
        <v>中型</v>
      </c>
      <c r="H31" s="37" t="s">
        <v>79</v>
      </c>
      <c r="I31" s="37" t="s">
        <v>2985</v>
      </c>
      <c r="J31" s="38" t="s">
        <v>2971</v>
      </c>
      <c r="K31" s="37"/>
      <c r="L31" s="49" t="s">
        <v>3085</v>
      </c>
      <c r="M31" s="11" t="str">
        <f t="shared" ref="M31:AB31" si="30">""</f>
        <v/>
      </c>
      <c r="N31" s="11" t="str">
        <f t="shared" si="30"/>
        <v/>
      </c>
      <c r="O31" s="11" t="str">
        <f t="shared" si="30"/>
        <v/>
      </c>
      <c r="P31" s="11" t="str">
        <f t="shared" si="30"/>
        <v/>
      </c>
      <c r="Q31" s="11" t="str">
        <f t="shared" si="30"/>
        <v/>
      </c>
      <c r="R31" s="11" t="str">
        <f t="shared" si="30"/>
        <v/>
      </c>
      <c r="S31" s="11" t="str">
        <f t="shared" si="30"/>
        <v/>
      </c>
      <c r="T31" s="11" t="str">
        <f t="shared" si="30"/>
        <v/>
      </c>
      <c r="U31" s="11" t="str">
        <f t="shared" si="30"/>
        <v/>
      </c>
      <c r="V31" s="11" t="str">
        <f t="shared" si="30"/>
        <v/>
      </c>
      <c r="W31" s="11" t="str">
        <f t="shared" si="30"/>
        <v/>
      </c>
      <c r="X31" s="11" t="str">
        <f t="shared" si="30"/>
        <v/>
      </c>
      <c r="Y31" s="11" t="str">
        <f t="shared" si="30"/>
        <v/>
      </c>
      <c r="Z31" s="11" t="str">
        <f t="shared" si="30"/>
        <v/>
      </c>
      <c r="AA31" s="11" t="str">
        <f t="shared" si="30"/>
        <v/>
      </c>
      <c r="AB31" s="41" t="str">
        <f t="shared" si="30"/>
        <v/>
      </c>
      <c r="AD31" s="42" t="str">
        <f t="array" ref="AD31">INDEX(L:L,SMALL(IF(L2:L51&lt;&gt;"",ROW(2:51),52),ROW(L30)))&amp;""</f>
        <v>离梦人</v>
      </c>
    </row>
    <row r="32" spans="1:42" ht="14.55" customHeight="1" x14ac:dyDescent="0.25">
      <c r="A32" s="45" t="s">
        <v>3005</v>
      </c>
      <c r="B32" s="45"/>
      <c r="C32" s="45">
        <v>4</v>
      </c>
      <c r="D32" s="45">
        <v>5</v>
      </c>
      <c r="E32" s="65" t="s">
        <v>3009</v>
      </c>
      <c r="F32" s="37" t="str">
        <f>F30</f>
        <v>自选两项属性分别+2/+1或自选三项属性+1</v>
      </c>
      <c r="G32" s="37" t="str">
        <f>G27</f>
        <v>中型</v>
      </c>
      <c r="H32" s="37" t="s">
        <v>79</v>
      </c>
      <c r="I32" s="37" t="s">
        <v>2985</v>
      </c>
      <c r="J32" s="38" t="s">
        <v>2971</v>
      </c>
      <c r="K32" s="37"/>
      <c r="L32" s="49" t="s">
        <v>3075</v>
      </c>
      <c r="M32" s="11" t="str">
        <f t="shared" ref="M32:AB32" si="31">""</f>
        <v/>
      </c>
      <c r="N32" s="11" t="str">
        <f t="shared" si="31"/>
        <v/>
      </c>
      <c r="O32" s="11" t="str">
        <f t="shared" si="31"/>
        <v/>
      </c>
      <c r="P32" s="11" t="str">
        <f t="shared" si="31"/>
        <v/>
      </c>
      <c r="Q32" s="11" t="str">
        <f t="shared" si="31"/>
        <v/>
      </c>
      <c r="R32" s="11" t="str">
        <f t="shared" si="31"/>
        <v/>
      </c>
      <c r="S32" s="11" t="str">
        <f t="shared" si="31"/>
        <v/>
      </c>
      <c r="T32" s="11" t="str">
        <f t="shared" si="31"/>
        <v/>
      </c>
      <c r="U32" s="11" t="str">
        <f t="shared" si="31"/>
        <v/>
      </c>
      <c r="V32" s="11" t="str">
        <f t="shared" si="31"/>
        <v/>
      </c>
      <c r="W32" s="11" t="str">
        <f t="shared" si="31"/>
        <v/>
      </c>
      <c r="X32" s="11" t="str">
        <f t="shared" si="31"/>
        <v/>
      </c>
      <c r="Y32" s="11" t="str">
        <f t="shared" si="31"/>
        <v/>
      </c>
      <c r="Z32" s="11" t="str">
        <f t="shared" si="31"/>
        <v/>
      </c>
      <c r="AA32" s="11" t="str">
        <f t="shared" si="31"/>
        <v/>
      </c>
      <c r="AB32" s="41" t="str">
        <f t="shared" si="31"/>
        <v/>
      </c>
      <c r="AD32" s="42" t="str">
        <f t="array" ref="AD32">INDEX(L:L,SMALL(IF(L2:L51&lt;&gt;"",ROW(2:51),52),ROW(L31)))&amp;""</f>
        <v>化兽者</v>
      </c>
    </row>
    <row r="33" spans="1:33" ht="14.55" customHeight="1" x14ac:dyDescent="0.25">
      <c r="A33" s="45" t="s">
        <v>3006</v>
      </c>
      <c r="B33" s="45"/>
      <c r="C33" s="45">
        <v>6</v>
      </c>
      <c r="D33" s="45">
        <v>7</v>
      </c>
      <c r="E33" s="36" t="s">
        <v>3012</v>
      </c>
      <c r="F33" s="37" t="s">
        <v>3086</v>
      </c>
      <c r="G33" s="37" t="s">
        <v>217</v>
      </c>
      <c r="H33" s="37" t="s">
        <v>3041</v>
      </c>
      <c r="I33" s="37" t="s">
        <v>3087</v>
      </c>
      <c r="J33" s="38" t="s">
        <v>2971</v>
      </c>
      <c r="K33" s="37"/>
      <c r="L33" s="49" t="s">
        <v>3088</v>
      </c>
      <c r="M33" s="11" t="str">
        <f t="shared" ref="M33:AB33" si="32">""</f>
        <v/>
      </c>
      <c r="N33" s="11" t="str">
        <f t="shared" si="32"/>
        <v/>
      </c>
      <c r="O33" s="11" t="str">
        <f t="shared" si="32"/>
        <v/>
      </c>
      <c r="P33" s="11" t="str">
        <f t="shared" si="32"/>
        <v/>
      </c>
      <c r="Q33" s="11" t="str">
        <f t="shared" si="32"/>
        <v/>
      </c>
      <c r="R33" s="11" t="str">
        <f t="shared" si="32"/>
        <v/>
      </c>
      <c r="S33" s="11" t="str">
        <f t="shared" si="32"/>
        <v/>
      </c>
      <c r="T33" s="11" t="str">
        <f t="shared" si="32"/>
        <v/>
      </c>
      <c r="U33" s="11" t="str">
        <f t="shared" si="32"/>
        <v/>
      </c>
      <c r="V33" s="11" t="str">
        <f t="shared" si="32"/>
        <v/>
      </c>
      <c r="W33" s="11" t="str">
        <f t="shared" si="32"/>
        <v/>
      </c>
      <c r="X33" s="11" t="str">
        <f t="shared" si="32"/>
        <v/>
      </c>
      <c r="Y33" s="11" t="str">
        <f t="shared" si="32"/>
        <v/>
      </c>
      <c r="Z33" s="11" t="str">
        <f t="shared" si="32"/>
        <v/>
      </c>
      <c r="AA33" s="11" t="str">
        <f t="shared" si="32"/>
        <v/>
      </c>
      <c r="AB33" s="41" t="str">
        <f t="shared" si="32"/>
        <v/>
      </c>
      <c r="AD33" s="42" t="str">
        <f t="array" ref="AD33">INDEX(L:L,SMALL(IF(L2:L51&lt;&gt;"",ROW(2:51),52),ROW(L32)))&amp;""</f>
        <v>机关人</v>
      </c>
    </row>
    <row r="34" spans="1:33" ht="14.55" customHeight="1" x14ac:dyDescent="0.25">
      <c r="A34" s="51" t="s">
        <v>3007</v>
      </c>
      <c r="C34" s="11">
        <v>8</v>
      </c>
      <c r="D34" s="12" t="e">
        <f>IF(AG2&lt;5,8,9)</f>
        <v>#REF!</v>
      </c>
      <c r="E34" s="36" t="s">
        <v>3013</v>
      </c>
      <c r="F34" s="37" t="s">
        <v>3089</v>
      </c>
      <c r="G34" s="37" t="str">
        <f>G33</f>
        <v>小型</v>
      </c>
      <c r="H34" s="37" t="s">
        <v>3041</v>
      </c>
      <c r="I34" s="37" t="s">
        <v>3087</v>
      </c>
      <c r="J34" s="38" t="s">
        <v>2971</v>
      </c>
      <c r="K34" s="37"/>
      <c r="L34" s="55" t="s">
        <v>3090</v>
      </c>
      <c r="M34" s="11" t="str">
        <f t="shared" ref="M34:AB34" si="33">""</f>
        <v/>
      </c>
      <c r="N34" s="11" t="str">
        <f t="shared" si="33"/>
        <v/>
      </c>
      <c r="O34" s="11" t="str">
        <f t="shared" si="33"/>
        <v/>
      </c>
      <c r="P34" s="11" t="str">
        <f t="shared" si="33"/>
        <v/>
      </c>
      <c r="Q34" s="11" t="str">
        <f t="shared" si="33"/>
        <v/>
      </c>
      <c r="R34" s="11" t="str">
        <f t="shared" si="33"/>
        <v/>
      </c>
      <c r="S34" s="11" t="str">
        <f t="shared" si="33"/>
        <v/>
      </c>
      <c r="T34" s="11" t="str">
        <f t="shared" si="33"/>
        <v/>
      </c>
      <c r="U34" s="11" t="str">
        <f t="shared" si="33"/>
        <v/>
      </c>
      <c r="V34" s="11" t="str">
        <f t="shared" si="33"/>
        <v/>
      </c>
      <c r="W34" s="11" t="str">
        <f t="shared" si="33"/>
        <v/>
      </c>
      <c r="X34" s="11" t="str">
        <f t="shared" si="33"/>
        <v/>
      </c>
      <c r="Y34" s="11" t="str">
        <f t="shared" si="33"/>
        <v/>
      </c>
      <c r="Z34" s="11" t="str">
        <f t="shared" si="33"/>
        <v/>
      </c>
      <c r="AA34" s="11" t="str">
        <f t="shared" si="33"/>
        <v/>
      </c>
      <c r="AB34" s="41" t="str">
        <f t="shared" si="33"/>
        <v/>
      </c>
      <c r="AD34" s="42" t="str">
        <f t="array" ref="AD34">INDEX(L:L,SMALL(IF(L2:L51&lt;&gt;"",ROW(2:51),52),ROW(L33)))&amp;""</f>
        <v>阿兰寇拉鹰人</v>
      </c>
    </row>
    <row r="35" spans="1:33" ht="14.55" customHeight="1" x14ac:dyDescent="0.25">
      <c r="A35" s="51" t="s">
        <v>3008</v>
      </c>
      <c r="B35" s="12"/>
      <c r="C35" s="12">
        <v>10</v>
      </c>
      <c r="D35" s="12" t="e">
        <f>IF(AG2&lt;5,11,12)</f>
        <v>#REF!</v>
      </c>
      <c r="E35" s="47" t="s">
        <v>3014</v>
      </c>
      <c r="F35" s="37" t="s">
        <v>2984</v>
      </c>
      <c r="G35" s="37" t="str">
        <f>G33</f>
        <v>小型</v>
      </c>
      <c r="H35" s="37" t="s">
        <v>79</v>
      </c>
      <c r="I35" s="37" t="s">
        <v>2985</v>
      </c>
      <c r="J35" s="38" t="s">
        <v>2971</v>
      </c>
      <c r="K35" s="37"/>
      <c r="L35" s="55" t="s">
        <v>3091</v>
      </c>
      <c r="M35" s="45" t="s">
        <v>3092</v>
      </c>
      <c r="N35" s="45" t="s">
        <v>3093</v>
      </c>
      <c r="O35" s="45" t="s">
        <v>3094</v>
      </c>
      <c r="P35" s="45" t="s">
        <v>3095</v>
      </c>
      <c r="Q35" s="11" t="str">
        <f t="shared" ref="Q35:AB35" si="34">""</f>
        <v/>
      </c>
      <c r="R35" s="11" t="str">
        <f t="shared" si="34"/>
        <v/>
      </c>
      <c r="S35" s="11" t="str">
        <f t="shared" si="34"/>
        <v/>
      </c>
      <c r="T35" s="11" t="str">
        <f t="shared" si="34"/>
        <v/>
      </c>
      <c r="U35" s="11" t="str">
        <f t="shared" si="34"/>
        <v/>
      </c>
      <c r="V35" s="11" t="str">
        <f t="shared" si="34"/>
        <v/>
      </c>
      <c r="W35" s="11" t="str">
        <f t="shared" si="34"/>
        <v/>
      </c>
      <c r="X35" s="11" t="str">
        <f t="shared" si="34"/>
        <v/>
      </c>
      <c r="Y35" s="11" t="str">
        <f t="shared" si="34"/>
        <v/>
      </c>
      <c r="Z35" s="11" t="str">
        <f t="shared" si="34"/>
        <v/>
      </c>
      <c r="AA35" s="11" t="str">
        <f t="shared" si="34"/>
        <v/>
      </c>
      <c r="AB35" s="41" t="str">
        <f t="shared" si="34"/>
        <v/>
      </c>
      <c r="AD35" s="42" t="str">
        <f t="array" ref="AD35">INDEX(L:L,SMALL(IF(L2:L51&lt;&gt;"",ROW(2:51),52),ROW(L34)))&amp;""</f>
        <v>元素裔</v>
      </c>
      <c r="AE35" s="12"/>
    </row>
    <row r="36" spans="1:33" ht="14.55" customHeight="1" x14ac:dyDescent="0.25">
      <c r="A36" s="51" t="s">
        <v>3009</v>
      </c>
      <c r="B36" s="12"/>
      <c r="C36" s="12">
        <v>13</v>
      </c>
      <c r="D36" s="12" t="e">
        <f>IF(AG2&lt;5,13,14)</f>
        <v>#REF!</v>
      </c>
      <c r="E36" s="49" t="s">
        <v>3015</v>
      </c>
      <c r="F36" s="37" t="s">
        <v>3080</v>
      </c>
      <c r="G36" s="37" t="str">
        <f>G33</f>
        <v>小型</v>
      </c>
      <c r="H36" s="37" t="s">
        <v>3041</v>
      </c>
      <c r="I36" s="37" t="s">
        <v>3087</v>
      </c>
      <c r="J36" s="38" t="s">
        <v>2971</v>
      </c>
      <c r="K36" s="37"/>
      <c r="L36" s="55" t="s">
        <v>3096</v>
      </c>
      <c r="M36" s="11" t="str">
        <f t="shared" ref="M36:AB36" si="35">""</f>
        <v/>
      </c>
      <c r="N36" s="11" t="str">
        <f t="shared" si="35"/>
        <v/>
      </c>
      <c r="O36" s="11" t="str">
        <f t="shared" si="35"/>
        <v/>
      </c>
      <c r="P36" s="11" t="str">
        <f t="shared" si="35"/>
        <v/>
      </c>
      <c r="Q36" s="11" t="str">
        <f t="shared" si="35"/>
        <v/>
      </c>
      <c r="R36" s="11" t="str">
        <f t="shared" si="35"/>
        <v/>
      </c>
      <c r="S36" s="11" t="str">
        <f t="shared" si="35"/>
        <v/>
      </c>
      <c r="T36" s="11" t="str">
        <f t="shared" si="35"/>
        <v/>
      </c>
      <c r="U36" s="11" t="str">
        <f t="shared" si="35"/>
        <v/>
      </c>
      <c r="V36" s="11" t="str">
        <f t="shared" si="35"/>
        <v/>
      </c>
      <c r="W36" s="11" t="str">
        <f t="shared" si="35"/>
        <v/>
      </c>
      <c r="X36" s="11" t="str">
        <f t="shared" si="35"/>
        <v/>
      </c>
      <c r="Y36" s="11" t="str">
        <f t="shared" si="35"/>
        <v/>
      </c>
      <c r="Z36" s="11" t="str">
        <f t="shared" si="35"/>
        <v/>
      </c>
      <c r="AA36" s="11" t="str">
        <f t="shared" si="35"/>
        <v/>
      </c>
      <c r="AB36" s="41" t="str">
        <f t="shared" si="35"/>
        <v/>
      </c>
      <c r="AD36" s="42" t="str">
        <f t="array" ref="AD36">INDEX(L:L,SMALL(IF(L2:L51&lt;&gt;"",ROW(2:51),52),ROW(L35)))&amp;""</f>
        <v>龟人</v>
      </c>
      <c r="AE36" s="12"/>
    </row>
    <row r="37" spans="1:33" ht="14.55" customHeight="1" x14ac:dyDescent="0.25">
      <c r="A37" s="35" t="s">
        <v>3011</v>
      </c>
      <c r="B37" s="35">
        <v>6</v>
      </c>
      <c r="C37" s="35">
        <v>1</v>
      </c>
      <c r="D37" s="35">
        <v>2</v>
      </c>
      <c r="E37" s="36" t="s">
        <v>3017</v>
      </c>
      <c r="F37" s="37" t="s">
        <v>3097</v>
      </c>
      <c r="G37" s="37" t="s">
        <v>101</v>
      </c>
      <c r="H37" s="37" t="s">
        <v>79</v>
      </c>
      <c r="I37" s="37" t="s">
        <v>3098</v>
      </c>
      <c r="J37" s="38" t="s">
        <v>2971</v>
      </c>
      <c r="K37" s="37"/>
      <c r="L37" s="66" t="s">
        <v>3099</v>
      </c>
      <c r="M37" s="11" t="str">
        <f t="shared" ref="M37:AB37" si="36">""</f>
        <v/>
      </c>
      <c r="N37" s="11" t="str">
        <f t="shared" si="36"/>
        <v/>
      </c>
      <c r="O37" s="11" t="str">
        <f t="shared" si="36"/>
        <v/>
      </c>
      <c r="P37" s="11" t="str">
        <f t="shared" si="36"/>
        <v/>
      </c>
      <c r="Q37" s="11" t="str">
        <f t="shared" si="36"/>
        <v/>
      </c>
      <c r="R37" s="11" t="str">
        <f t="shared" si="36"/>
        <v/>
      </c>
      <c r="S37" s="11" t="str">
        <f t="shared" si="36"/>
        <v/>
      </c>
      <c r="T37" s="11" t="str">
        <f t="shared" si="36"/>
        <v/>
      </c>
      <c r="U37" s="11" t="str">
        <f t="shared" si="36"/>
        <v/>
      </c>
      <c r="V37" s="11" t="str">
        <f t="shared" si="36"/>
        <v/>
      </c>
      <c r="W37" s="11" t="str">
        <f t="shared" si="36"/>
        <v/>
      </c>
      <c r="X37" s="11" t="str">
        <f t="shared" si="36"/>
        <v/>
      </c>
      <c r="Y37" s="11" t="str">
        <f t="shared" si="36"/>
        <v/>
      </c>
      <c r="Z37" s="11" t="str">
        <f t="shared" si="36"/>
        <v/>
      </c>
      <c r="AA37" s="11" t="str">
        <f t="shared" si="36"/>
        <v/>
      </c>
      <c r="AB37" s="41" t="str">
        <f t="shared" si="36"/>
        <v/>
      </c>
      <c r="AD37" s="42" t="str">
        <f t="array" ref="AD37">INDEX(L:L,SMALL(IF(L2:L51&lt;&gt;"",ROW(2:51),52),ROW(L36)))&amp;""</f>
        <v>佛丹人</v>
      </c>
      <c r="AE37" s="12"/>
    </row>
    <row r="38" spans="1:33" ht="14.55" customHeight="1" x14ac:dyDescent="0.25">
      <c r="A38" s="12" t="s">
        <v>3012</v>
      </c>
      <c r="B38" s="12"/>
      <c r="C38" s="12">
        <v>3</v>
      </c>
      <c r="D38" s="12">
        <v>4</v>
      </c>
      <c r="E38" s="58" t="s">
        <v>3018</v>
      </c>
      <c r="F38" s="37" t="str">
        <f>F37</f>
        <v>魅力+2，自选两项其他属性各+1</v>
      </c>
      <c r="G38" s="37" t="str">
        <f>G37</f>
        <v>中型</v>
      </c>
      <c r="H38" s="37" t="s">
        <v>79</v>
      </c>
      <c r="I38" s="37" t="s">
        <v>3098</v>
      </c>
      <c r="J38" s="38" t="s">
        <v>2971</v>
      </c>
      <c r="K38" s="37"/>
      <c r="L38" s="67" t="s">
        <v>3100</v>
      </c>
      <c r="M38" s="11" t="str">
        <f t="shared" ref="M38:AB38" si="37">""</f>
        <v/>
      </c>
      <c r="N38" s="11" t="str">
        <f t="shared" si="37"/>
        <v/>
      </c>
      <c r="O38" s="11" t="str">
        <f t="shared" si="37"/>
        <v/>
      </c>
      <c r="P38" s="11" t="str">
        <f t="shared" si="37"/>
        <v/>
      </c>
      <c r="Q38" s="11" t="str">
        <f t="shared" si="37"/>
        <v/>
      </c>
      <c r="R38" s="11" t="str">
        <f t="shared" si="37"/>
        <v/>
      </c>
      <c r="S38" s="11" t="str">
        <f t="shared" si="37"/>
        <v/>
      </c>
      <c r="T38" s="11" t="str">
        <f t="shared" si="37"/>
        <v/>
      </c>
      <c r="U38" s="11" t="str">
        <f t="shared" si="37"/>
        <v/>
      </c>
      <c r="V38" s="11" t="str">
        <f t="shared" si="37"/>
        <v/>
      </c>
      <c r="W38" s="11" t="str">
        <f t="shared" si="37"/>
        <v/>
      </c>
      <c r="X38" s="11" t="str">
        <f t="shared" si="37"/>
        <v/>
      </c>
      <c r="Y38" s="11" t="str">
        <f t="shared" si="37"/>
        <v/>
      </c>
      <c r="Z38" s="11" t="str">
        <f t="shared" si="37"/>
        <v/>
      </c>
      <c r="AA38" s="11" t="str">
        <f t="shared" si="37"/>
        <v/>
      </c>
      <c r="AB38" s="41" t="str">
        <f t="shared" si="37"/>
        <v/>
      </c>
      <c r="AD38" s="42" t="str">
        <f t="array" ref="AD38">INDEX(L:L,SMALL(IF(L2:L51&lt;&gt;"",ROW(2:51),52),ROW(L37)))&amp;""</f>
        <v>狮族</v>
      </c>
      <c r="AE38" s="12"/>
    </row>
    <row r="39" spans="1:33" ht="14.55" customHeight="1" x14ac:dyDescent="0.25">
      <c r="A39" s="12" t="s">
        <v>3013</v>
      </c>
      <c r="B39" s="12"/>
      <c r="C39" s="12">
        <v>5</v>
      </c>
      <c r="D39" s="12">
        <v>6</v>
      </c>
      <c r="E39" s="58" t="s">
        <v>3019</v>
      </c>
      <c r="F39" s="37" t="str">
        <f>F37</f>
        <v>魅力+2，自选两项其他属性各+1</v>
      </c>
      <c r="G39" s="37" t="str">
        <f>G37</f>
        <v>中型</v>
      </c>
      <c r="H39" s="37" t="s">
        <v>79</v>
      </c>
      <c r="I39" s="37" t="s">
        <v>3098</v>
      </c>
      <c r="J39" s="38" t="s">
        <v>2971</v>
      </c>
      <c r="K39" s="37"/>
      <c r="L39" s="67" t="s">
        <v>3101</v>
      </c>
      <c r="M39" s="11" t="str">
        <f t="shared" ref="M39:AB39" si="38">""</f>
        <v/>
      </c>
      <c r="N39" s="11" t="str">
        <f t="shared" si="38"/>
        <v/>
      </c>
      <c r="O39" s="11" t="str">
        <f t="shared" si="38"/>
        <v/>
      </c>
      <c r="P39" s="11" t="str">
        <f t="shared" si="38"/>
        <v/>
      </c>
      <c r="Q39" s="11" t="str">
        <f t="shared" si="38"/>
        <v/>
      </c>
      <c r="R39" s="11" t="str">
        <f t="shared" si="38"/>
        <v/>
      </c>
      <c r="S39" s="11" t="str">
        <f t="shared" si="38"/>
        <v/>
      </c>
      <c r="T39" s="11" t="str">
        <f t="shared" si="38"/>
        <v/>
      </c>
      <c r="U39" s="11" t="str">
        <f t="shared" si="38"/>
        <v/>
      </c>
      <c r="V39" s="11" t="str">
        <f t="shared" si="38"/>
        <v/>
      </c>
      <c r="W39" s="11" t="str">
        <f t="shared" si="38"/>
        <v/>
      </c>
      <c r="X39" s="11" t="str">
        <f t="shared" si="38"/>
        <v/>
      </c>
      <c r="Y39" s="11" t="str">
        <f t="shared" si="38"/>
        <v/>
      </c>
      <c r="Z39" s="11" t="str">
        <f t="shared" si="38"/>
        <v/>
      </c>
      <c r="AA39" s="11" t="str">
        <f t="shared" si="38"/>
        <v/>
      </c>
      <c r="AB39" s="41" t="str">
        <f t="shared" si="38"/>
        <v/>
      </c>
      <c r="AD39" s="42" t="str">
        <f t="array" ref="AD39">INDEX(L:L,SMALL(IF(L2:L51&lt;&gt;"",ROW(2:51),52),ROW(L38)))&amp;""</f>
        <v>半羊人</v>
      </c>
      <c r="AE39" s="12"/>
    </row>
    <row r="40" spans="1:33" ht="14.55" customHeight="1" x14ac:dyDescent="0.25">
      <c r="A40" s="39" t="s">
        <v>3014</v>
      </c>
      <c r="B40" s="39"/>
      <c r="C40" s="39">
        <v>7</v>
      </c>
      <c r="D40" s="39" t="e">
        <f>IF(AG2&lt;3,8,9)</f>
        <v>#REF!</v>
      </c>
      <c r="E40" s="58" t="s">
        <v>3020</v>
      </c>
      <c r="F40" s="37" t="str">
        <f>F39</f>
        <v>魅力+2，自选两项其他属性各+1</v>
      </c>
      <c r="G40" s="37" t="str">
        <f>G39</f>
        <v>中型</v>
      </c>
      <c r="H40" s="37" t="s">
        <v>79</v>
      </c>
      <c r="I40" s="37" t="s">
        <v>3098</v>
      </c>
      <c r="J40" s="38" t="s">
        <v>2971</v>
      </c>
      <c r="K40" s="37"/>
      <c r="L40" s="68" t="s">
        <v>3102</v>
      </c>
      <c r="M40" s="11" t="str">
        <f t="shared" ref="M40:AB40" si="39">""</f>
        <v/>
      </c>
      <c r="N40" s="11" t="str">
        <f t="shared" si="39"/>
        <v/>
      </c>
      <c r="O40" s="11" t="str">
        <f t="shared" si="39"/>
        <v/>
      </c>
      <c r="P40" s="11" t="str">
        <f t="shared" si="39"/>
        <v/>
      </c>
      <c r="Q40" s="11" t="str">
        <f t="shared" si="39"/>
        <v/>
      </c>
      <c r="R40" s="11" t="str">
        <f t="shared" si="39"/>
        <v/>
      </c>
      <c r="S40" s="11" t="str">
        <f t="shared" si="39"/>
        <v/>
      </c>
      <c r="T40" s="11" t="str">
        <f t="shared" si="39"/>
        <v/>
      </c>
      <c r="U40" s="11" t="str">
        <f t="shared" si="39"/>
        <v/>
      </c>
      <c r="V40" s="11" t="str">
        <f t="shared" si="39"/>
        <v/>
      </c>
      <c r="W40" s="11" t="str">
        <f t="shared" si="39"/>
        <v/>
      </c>
      <c r="X40" s="11" t="str">
        <f t="shared" si="39"/>
        <v/>
      </c>
      <c r="Y40" s="11" t="str">
        <f t="shared" si="39"/>
        <v/>
      </c>
      <c r="Z40" s="11" t="str">
        <f t="shared" si="39"/>
        <v/>
      </c>
      <c r="AA40" s="11" t="str">
        <f t="shared" si="39"/>
        <v/>
      </c>
      <c r="AB40" s="41" t="str">
        <f t="shared" si="39"/>
        <v/>
      </c>
      <c r="AD40" s="42" t="str">
        <f t="array" ref="AD40">INDEX(L:L,SMALL(IF(L2:L51&lt;&gt;"",ROW(2:51),52),ROW(L39)))&amp;""</f>
        <v>枭人</v>
      </c>
      <c r="AE40" s="12"/>
    </row>
    <row r="41" spans="1:33" ht="14.55" customHeight="1" x14ac:dyDescent="0.25">
      <c r="A41" s="40" t="s">
        <v>3015</v>
      </c>
      <c r="B41" s="40"/>
      <c r="C41" s="40">
        <v>10</v>
      </c>
      <c r="D41" s="40">
        <v>12</v>
      </c>
      <c r="E41" s="58" t="s">
        <v>3021</v>
      </c>
      <c r="F41" s="37" t="str">
        <f>F37</f>
        <v>魅力+2，自选两项其他属性各+1</v>
      </c>
      <c r="G41" s="37" t="str">
        <f>G37</f>
        <v>中型</v>
      </c>
      <c r="H41" s="37" t="s">
        <v>79</v>
      </c>
      <c r="I41" s="37" t="s">
        <v>3098</v>
      </c>
      <c r="J41" s="38" t="s">
        <v>2971</v>
      </c>
      <c r="K41" s="37"/>
      <c r="L41" s="69" t="s">
        <v>3103</v>
      </c>
      <c r="M41" s="11" t="str">
        <f t="shared" ref="M41:AB41" si="40">""</f>
        <v/>
      </c>
      <c r="N41" s="11" t="str">
        <f t="shared" si="40"/>
        <v/>
      </c>
      <c r="O41" s="11" t="str">
        <f t="shared" si="40"/>
        <v/>
      </c>
      <c r="P41" s="11" t="str">
        <f t="shared" si="40"/>
        <v/>
      </c>
      <c r="Q41" s="11" t="str">
        <f t="shared" si="40"/>
        <v/>
      </c>
      <c r="R41" s="11" t="str">
        <f t="shared" si="40"/>
        <v/>
      </c>
      <c r="S41" s="11" t="str">
        <f t="shared" si="40"/>
        <v/>
      </c>
      <c r="T41" s="11" t="str">
        <f t="shared" si="40"/>
        <v/>
      </c>
      <c r="U41" s="11" t="str">
        <f t="shared" si="40"/>
        <v/>
      </c>
      <c r="V41" s="11" t="str">
        <f t="shared" si="40"/>
        <v/>
      </c>
      <c r="W41" s="11" t="str">
        <f t="shared" si="40"/>
        <v/>
      </c>
      <c r="X41" s="11" t="str">
        <f t="shared" si="40"/>
        <v/>
      </c>
      <c r="Y41" s="11" t="str">
        <f t="shared" si="40"/>
        <v/>
      </c>
      <c r="Z41" s="11" t="str">
        <f t="shared" si="40"/>
        <v/>
      </c>
      <c r="AA41" s="11" t="str">
        <f t="shared" si="40"/>
        <v/>
      </c>
      <c r="AB41" s="41" t="str">
        <f t="shared" si="40"/>
        <v/>
      </c>
      <c r="AD41" s="42" t="str">
        <f t="array" ref="AD41">INDEX(L:L,SMALL(IF(L2:L51&lt;&gt;"",ROW(2:51),52),ROW(L40)))&amp;""</f>
        <v>仙灵</v>
      </c>
      <c r="AE41" s="12"/>
    </row>
    <row r="42" spans="1:33" ht="14.55" customHeight="1" x14ac:dyDescent="0.25">
      <c r="A42" s="35" t="s">
        <v>3017</v>
      </c>
      <c r="B42" s="35">
        <v>7</v>
      </c>
      <c r="C42" s="35">
        <v>1</v>
      </c>
      <c r="D42" s="35">
        <f>IF(COUNTIF(R8:S8,AG4),2,3)</f>
        <v>3</v>
      </c>
      <c r="E42" s="58" t="s">
        <v>3022</v>
      </c>
      <c r="F42" s="37" t="str">
        <f>F37</f>
        <v>魅力+2，自选两项其他属性各+1</v>
      </c>
      <c r="G42" s="37" t="str">
        <f>G37</f>
        <v>中型</v>
      </c>
      <c r="H42" s="37" t="s">
        <v>79</v>
      </c>
      <c r="I42" s="37" t="s">
        <v>3098</v>
      </c>
      <c r="J42" s="38" t="s">
        <v>2971</v>
      </c>
      <c r="K42" s="37"/>
      <c r="L42" s="69" t="s">
        <v>3104</v>
      </c>
      <c r="M42" s="11" t="str">
        <f t="shared" ref="M42:AB42" si="41">""</f>
        <v/>
      </c>
      <c r="N42" s="11" t="str">
        <f t="shared" si="41"/>
        <v/>
      </c>
      <c r="O42" s="11" t="str">
        <f t="shared" si="41"/>
        <v/>
      </c>
      <c r="P42" s="11" t="str">
        <f t="shared" si="41"/>
        <v/>
      </c>
      <c r="Q42" s="11" t="str">
        <f t="shared" si="41"/>
        <v/>
      </c>
      <c r="R42" s="11" t="str">
        <f t="shared" si="41"/>
        <v/>
      </c>
      <c r="S42" s="11" t="str">
        <f t="shared" si="41"/>
        <v/>
      </c>
      <c r="T42" s="11" t="str">
        <f t="shared" si="41"/>
        <v/>
      </c>
      <c r="U42" s="11" t="str">
        <f t="shared" si="41"/>
        <v/>
      </c>
      <c r="V42" s="11" t="str">
        <f t="shared" si="41"/>
        <v/>
      </c>
      <c r="W42" s="11" t="str">
        <f t="shared" si="41"/>
        <v/>
      </c>
      <c r="X42" s="11" t="str">
        <f t="shared" si="41"/>
        <v/>
      </c>
      <c r="Y42" s="11" t="str">
        <f t="shared" si="41"/>
        <v/>
      </c>
      <c r="Z42" s="11" t="str">
        <f t="shared" si="41"/>
        <v/>
      </c>
      <c r="AA42" s="11" t="str">
        <f t="shared" si="41"/>
        <v/>
      </c>
      <c r="AB42" s="41" t="str">
        <f t="shared" si="41"/>
        <v/>
      </c>
      <c r="AD42" s="42" t="str">
        <f t="array" ref="AD42">INDEX(L:L,SMALL(IF(L2:L51&lt;&gt;"",ROW(2:51),52),ROW(L41)))&amp;""</f>
        <v>兔人</v>
      </c>
      <c r="AE42" s="12"/>
    </row>
    <row r="43" spans="1:33" ht="14.55" customHeight="1" x14ac:dyDescent="0.25">
      <c r="A43" s="48" t="s">
        <v>3018</v>
      </c>
      <c r="B43" s="48"/>
      <c r="C43" s="48">
        <v>4</v>
      </c>
      <c r="D43" s="48">
        <v>6</v>
      </c>
      <c r="E43" s="49" t="s">
        <v>3023</v>
      </c>
      <c r="F43" s="37" t="s">
        <v>3067</v>
      </c>
      <c r="G43" s="37" t="str">
        <f>G37</f>
        <v>中型</v>
      </c>
      <c r="H43" s="37" t="s">
        <v>79</v>
      </c>
      <c r="I43" s="37" t="s">
        <v>3098</v>
      </c>
      <c r="J43" s="38" t="s">
        <v>2971</v>
      </c>
      <c r="K43" s="37"/>
      <c r="L43" s="70" t="s">
        <v>3105</v>
      </c>
      <c r="M43" s="11" t="str">
        <f t="shared" ref="M43:AB43" si="42">""</f>
        <v/>
      </c>
      <c r="N43" s="11" t="str">
        <f t="shared" si="42"/>
        <v/>
      </c>
      <c r="O43" s="11" t="str">
        <f t="shared" si="42"/>
        <v/>
      </c>
      <c r="P43" s="11" t="str">
        <f t="shared" si="42"/>
        <v/>
      </c>
      <c r="Q43" s="11" t="str">
        <f t="shared" si="42"/>
        <v/>
      </c>
      <c r="R43" s="11" t="str">
        <f t="shared" si="42"/>
        <v/>
      </c>
      <c r="S43" s="11" t="str">
        <f t="shared" si="42"/>
        <v/>
      </c>
      <c r="T43" s="11" t="str">
        <f t="shared" si="42"/>
        <v/>
      </c>
      <c r="U43" s="11" t="str">
        <f t="shared" si="42"/>
        <v/>
      </c>
      <c r="V43" s="11" t="str">
        <f t="shared" si="42"/>
        <v/>
      </c>
      <c r="W43" s="11" t="str">
        <f t="shared" si="42"/>
        <v/>
      </c>
      <c r="X43" s="11" t="str">
        <f t="shared" si="42"/>
        <v/>
      </c>
      <c r="Y43" s="11" t="str">
        <f t="shared" si="42"/>
        <v/>
      </c>
      <c r="Z43" s="11" t="str">
        <f t="shared" si="42"/>
        <v/>
      </c>
      <c r="AA43" s="11" t="str">
        <f t="shared" si="42"/>
        <v/>
      </c>
      <c r="AB43" s="41" t="str">
        <f t="shared" si="42"/>
        <v/>
      </c>
      <c r="AD43" s="42" t="str">
        <f t="array" ref="AD43">INDEX(L:L,SMALL(IF(L2:L51&lt;&gt;"",ROW(2:51),52),ROW(L42)))&amp;""</f>
        <v>自动侏儒</v>
      </c>
      <c r="AG43" s="12"/>
    </row>
    <row r="44" spans="1:33" ht="14.55" customHeight="1" x14ac:dyDescent="0.25">
      <c r="A44" s="48" t="s">
        <v>3019</v>
      </c>
      <c r="B44" s="48"/>
      <c r="C44" s="48">
        <v>7</v>
      </c>
      <c r="D44" s="48">
        <v>8</v>
      </c>
      <c r="E44" s="49" t="s">
        <v>3024</v>
      </c>
      <c r="F44" s="37" t="s">
        <v>3106</v>
      </c>
      <c r="G44" s="37" t="str">
        <f>G37</f>
        <v>中型</v>
      </c>
      <c r="H44" s="37" t="s">
        <v>79</v>
      </c>
      <c r="I44" s="37" t="s">
        <v>3098</v>
      </c>
      <c r="J44" s="38" t="s">
        <v>2971</v>
      </c>
      <c r="K44" s="37"/>
      <c r="L44" s="70" t="s">
        <v>3107</v>
      </c>
      <c r="M44" s="11" t="str">
        <f t="shared" ref="M44:AB44" si="43">""</f>
        <v/>
      </c>
      <c r="N44" s="11" t="str">
        <f t="shared" si="43"/>
        <v/>
      </c>
      <c r="O44" s="11" t="str">
        <f t="shared" si="43"/>
        <v/>
      </c>
      <c r="P44" s="11" t="str">
        <f t="shared" si="43"/>
        <v/>
      </c>
      <c r="Q44" s="11" t="str">
        <f t="shared" si="43"/>
        <v/>
      </c>
      <c r="R44" s="11" t="str">
        <f t="shared" si="43"/>
        <v/>
      </c>
      <c r="S44" s="11" t="str">
        <f t="shared" si="43"/>
        <v/>
      </c>
      <c r="T44" s="11" t="str">
        <f t="shared" si="43"/>
        <v/>
      </c>
      <c r="U44" s="11" t="str">
        <f t="shared" si="43"/>
        <v/>
      </c>
      <c r="V44" s="11" t="str">
        <f t="shared" si="43"/>
        <v/>
      </c>
      <c r="W44" s="11" t="str">
        <f t="shared" si="43"/>
        <v/>
      </c>
      <c r="X44" s="11" t="str">
        <f t="shared" si="43"/>
        <v/>
      </c>
      <c r="Y44" s="11" t="str">
        <f t="shared" si="43"/>
        <v/>
      </c>
      <c r="Z44" s="11" t="str">
        <f t="shared" si="43"/>
        <v/>
      </c>
      <c r="AA44" s="11" t="str">
        <f t="shared" si="43"/>
        <v/>
      </c>
      <c r="AB44" s="41" t="str">
        <f t="shared" si="43"/>
        <v/>
      </c>
      <c r="AD44" s="42" t="str">
        <f t="array" ref="AD44">INDEX(L:L,SMALL(IF(L2:L51&lt;&gt;"",ROW(2:51),52),ROW(L43)))&amp;""</f>
        <v>诘弗人</v>
      </c>
    </row>
    <row r="45" spans="1:33" ht="14.55" customHeight="1" x14ac:dyDescent="0.25">
      <c r="A45" s="48" t="s">
        <v>3020</v>
      </c>
      <c r="B45" s="48"/>
      <c r="C45" s="48">
        <v>8</v>
      </c>
      <c r="D45" s="48">
        <v>8</v>
      </c>
      <c r="E45" s="36" t="s">
        <v>3025</v>
      </c>
      <c r="F45" s="37" t="s">
        <v>3082</v>
      </c>
      <c r="G45" s="37" t="s">
        <v>101</v>
      </c>
      <c r="H45" s="37" t="s">
        <v>79</v>
      </c>
      <c r="I45" s="37" t="s">
        <v>3108</v>
      </c>
      <c r="J45" s="38" t="s">
        <v>2971</v>
      </c>
      <c r="K45" s="37"/>
      <c r="L45" s="70" t="s">
        <v>3109</v>
      </c>
      <c r="M45" s="11" t="str">
        <f t="shared" ref="M45:AB45" si="44">""</f>
        <v/>
      </c>
      <c r="N45" s="11" t="str">
        <f t="shared" si="44"/>
        <v/>
      </c>
      <c r="O45" s="11" t="str">
        <f t="shared" si="44"/>
        <v/>
      </c>
      <c r="P45" s="11" t="str">
        <f t="shared" si="44"/>
        <v/>
      </c>
      <c r="Q45" s="11" t="str">
        <f t="shared" si="44"/>
        <v/>
      </c>
      <c r="R45" s="11" t="str">
        <f t="shared" si="44"/>
        <v/>
      </c>
      <c r="S45" s="11" t="str">
        <f t="shared" si="44"/>
        <v/>
      </c>
      <c r="T45" s="11" t="str">
        <f t="shared" si="44"/>
        <v/>
      </c>
      <c r="U45" s="11" t="str">
        <f t="shared" si="44"/>
        <v/>
      </c>
      <c r="V45" s="11" t="str">
        <f t="shared" si="44"/>
        <v/>
      </c>
      <c r="W45" s="11" t="str">
        <f t="shared" si="44"/>
        <v/>
      </c>
      <c r="X45" s="11" t="str">
        <f t="shared" si="44"/>
        <v/>
      </c>
      <c r="Y45" s="11" t="str">
        <f t="shared" si="44"/>
        <v/>
      </c>
      <c r="Z45" s="11" t="str">
        <f t="shared" si="44"/>
        <v/>
      </c>
      <c r="AA45" s="11" t="str">
        <f t="shared" si="44"/>
        <v/>
      </c>
      <c r="AB45" s="41" t="str">
        <f t="shared" si="44"/>
        <v/>
      </c>
      <c r="AD45" s="42" t="str">
        <f t="array" ref="AD45">INDEX(L:L,SMALL(IF(L2:L51&lt;&gt;"",ROW(2:51),52),ROW(L44)))&amp;""</f>
        <v>鼯猴人</v>
      </c>
    </row>
    <row r="46" spans="1:33" ht="14.55" customHeight="1" x14ac:dyDescent="0.25">
      <c r="A46" s="48" t="s">
        <v>3021</v>
      </c>
      <c r="B46" s="48"/>
      <c r="C46" s="48">
        <v>9</v>
      </c>
      <c r="D46" s="48">
        <v>9</v>
      </c>
      <c r="E46" s="49" t="s">
        <v>2996</v>
      </c>
      <c r="F46" s="37" t="str">
        <f>F22</f>
        <v>感知+2，体质+1</v>
      </c>
      <c r="G46" s="37" t="str">
        <f>G45</f>
        <v>中型</v>
      </c>
      <c r="H46" s="37" t="s">
        <v>79</v>
      </c>
      <c r="I46" s="37" t="s">
        <v>3065</v>
      </c>
      <c r="J46" s="38" t="s">
        <v>2971</v>
      </c>
      <c r="K46" s="37"/>
      <c r="L46" s="70" t="s">
        <v>3110</v>
      </c>
      <c r="M46" s="11" t="str">
        <f t="shared" ref="M46:AB46" si="45">""</f>
        <v/>
      </c>
      <c r="N46" s="11" t="str">
        <f t="shared" si="45"/>
        <v/>
      </c>
      <c r="O46" s="11" t="str">
        <f t="shared" si="45"/>
        <v/>
      </c>
      <c r="P46" s="11" t="str">
        <f t="shared" si="45"/>
        <v/>
      </c>
      <c r="Q46" s="11" t="str">
        <f t="shared" si="45"/>
        <v/>
      </c>
      <c r="R46" s="11" t="str">
        <f t="shared" si="45"/>
        <v/>
      </c>
      <c r="S46" s="11" t="str">
        <f t="shared" si="45"/>
        <v/>
      </c>
      <c r="T46" s="11" t="str">
        <f t="shared" si="45"/>
        <v/>
      </c>
      <c r="U46" s="11" t="str">
        <f t="shared" si="45"/>
        <v/>
      </c>
      <c r="V46" s="11" t="str">
        <f t="shared" si="45"/>
        <v/>
      </c>
      <c r="W46" s="11" t="str">
        <f t="shared" si="45"/>
        <v/>
      </c>
      <c r="X46" s="11" t="str">
        <f t="shared" si="45"/>
        <v/>
      </c>
      <c r="Y46" s="11" t="str">
        <f t="shared" si="45"/>
        <v/>
      </c>
      <c r="Z46" s="11" t="str">
        <f t="shared" si="45"/>
        <v/>
      </c>
      <c r="AA46" s="11" t="str">
        <f t="shared" si="45"/>
        <v/>
      </c>
      <c r="AB46" s="41" t="str">
        <f t="shared" si="45"/>
        <v/>
      </c>
      <c r="AD46" s="42" t="str">
        <f t="array" ref="AD46">INDEX(L:L,SMALL(IF(L2:L51&lt;&gt;"",ROW(2:51),52),ROW(L45)))&amp;""</f>
        <v>流浆体</v>
      </c>
    </row>
    <row r="47" spans="1:33" ht="14.55" customHeight="1" x14ac:dyDescent="0.25">
      <c r="A47" s="48" t="s">
        <v>3022</v>
      </c>
      <c r="B47" s="48"/>
      <c r="C47" s="48">
        <v>10</v>
      </c>
      <c r="D47" s="48">
        <v>10</v>
      </c>
      <c r="E47" s="36" t="s">
        <v>3027</v>
      </c>
      <c r="F47" s="37" t="s">
        <v>3111</v>
      </c>
      <c r="G47" s="37" t="s">
        <v>101</v>
      </c>
      <c r="H47" s="37" t="s">
        <v>79</v>
      </c>
      <c r="I47" s="37" t="s">
        <v>3112</v>
      </c>
      <c r="J47" s="38" t="s">
        <v>2971</v>
      </c>
      <c r="K47" s="37"/>
      <c r="L47" s="70" t="s">
        <v>3113</v>
      </c>
      <c r="M47" s="11" t="str">
        <f t="shared" ref="M47:AB47" si="46">""</f>
        <v/>
      </c>
      <c r="N47" s="11" t="str">
        <f t="shared" si="46"/>
        <v/>
      </c>
      <c r="O47" s="11" t="str">
        <f t="shared" si="46"/>
        <v/>
      </c>
      <c r="P47" s="11" t="str">
        <f t="shared" si="46"/>
        <v/>
      </c>
      <c r="Q47" s="11" t="str">
        <f t="shared" si="46"/>
        <v/>
      </c>
      <c r="R47" s="11" t="str">
        <f t="shared" si="46"/>
        <v/>
      </c>
      <c r="S47" s="11" t="str">
        <f t="shared" si="46"/>
        <v/>
      </c>
      <c r="T47" s="11" t="str">
        <f t="shared" si="46"/>
        <v/>
      </c>
      <c r="U47" s="11" t="str">
        <f t="shared" si="46"/>
        <v/>
      </c>
      <c r="V47" s="11" t="str">
        <f t="shared" si="46"/>
        <v/>
      </c>
      <c r="W47" s="11" t="str">
        <f t="shared" si="46"/>
        <v/>
      </c>
      <c r="X47" s="11" t="str">
        <f t="shared" si="46"/>
        <v/>
      </c>
      <c r="Y47" s="11" t="str">
        <f t="shared" si="46"/>
        <v/>
      </c>
      <c r="Z47" s="11" t="str">
        <f t="shared" si="46"/>
        <v/>
      </c>
      <c r="AA47" s="11" t="str">
        <f t="shared" si="46"/>
        <v/>
      </c>
      <c r="AB47" s="41" t="str">
        <f t="shared" si="46"/>
        <v/>
      </c>
      <c r="AD47" s="42" t="str" cm="1">
        <f t="array" ref="AD47">INDEX(L:L,SMALL(IF(L2:L51&lt;&gt;"",ROW(2:51),52),ROW(L46)))&amp;""</f>
        <v>螳螂人</v>
      </c>
    </row>
    <row r="48" spans="1:33" ht="14.55" customHeight="1" x14ac:dyDescent="0.25">
      <c r="A48" s="40" t="s">
        <v>3023</v>
      </c>
      <c r="B48" s="40"/>
      <c r="C48" s="40">
        <v>11</v>
      </c>
      <c r="D48" s="40">
        <v>13</v>
      </c>
      <c r="E48" s="58" t="s">
        <v>3028</v>
      </c>
      <c r="F48" s="37" t="s">
        <v>3114</v>
      </c>
      <c r="G48" s="37" t="str">
        <f>G47</f>
        <v>中型</v>
      </c>
      <c r="H48" s="37" t="s">
        <v>79</v>
      </c>
      <c r="I48" s="37" t="s">
        <v>3112</v>
      </c>
      <c r="J48" s="38" t="s">
        <v>2971</v>
      </c>
      <c r="K48" s="37"/>
      <c r="L48" s="36"/>
      <c r="M48" s="11" t="str">
        <f t="shared" ref="M48:AB48" si="47">""</f>
        <v/>
      </c>
      <c r="N48" s="11" t="str">
        <f t="shared" si="47"/>
        <v/>
      </c>
      <c r="O48" s="11" t="str">
        <f t="shared" si="47"/>
        <v/>
      </c>
      <c r="P48" s="11" t="str">
        <f t="shared" si="47"/>
        <v/>
      </c>
      <c r="Q48" s="11" t="str">
        <f t="shared" si="47"/>
        <v/>
      </c>
      <c r="R48" s="11" t="str">
        <f t="shared" si="47"/>
        <v/>
      </c>
      <c r="S48" s="11" t="str">
        <f t="shared" si="47"/>
        <v/>
      </c>
      <c r="T48" s="11" t="str">
        <f t="shared" si="47"/>
        <v/>
      </c>
      <c r="U48" s="11" t="str">
        <f t="shared" si="47"/>
        <v/>
      </c>
      <c r="V48" s="11" t="str">
        <f t="shared" si="47"/>
        <v/>
      </c>
      <c r="W48" s="11" t="str">
        <f t="shared" si="47"/>
        <v/>
      </c>
      <c r="X48" s="11" t="str">
        <f t="shared" si="47"/>
        <v/>
      </c>
      <c r="Y48" s="11" t="str">
        <f t="shared" si="47"/>
        <v/>
      </c>
      <c r="Z48" s="11" t="str">
        <f t="shared" si="47"/>
        <v/>
      </c>
      <c r="AA48" s="11" t="str">
        <f t="shared" si="47"/>
        <v/>
      </c>
      <c r="AB48" s="41" t="str">
        <f t="shared" si="47"/>
        <v/>
      </c>
      <c r="AD48" s="42" t="str">
        <f t="array" ref="AD48">INDEX(L:L,SMALL(IF(L2:L51&lt;&gt;"",ROW(2:51),52),ROW(L47)))&amp;""</f>
        <v/>
      </c>
    </row>
    <row r="49" spans="1:49" ht="14.55" customHeight="1" x14ac:dyDescent="0.25">
      <c r="A49" s="40" t="s">
        <v>3024</v>
      </c>
      <c r="B49" s="40"/>
      <c r="C49" s="40">
        <v>14</v>
      </c>
      <c r="D49" s="40">
        <v>17</v>
      </c>
      <c r="E49" s="47" t="s">
        <v>3029</v>
      </c>
      <c r="F49" s="37" t="s">
        <v>3115</v>
      </c>
      <c r="G49" s="37" t="str">
        <f>G47</f>
        <v>中型</v>
      </c>
      <c r="H49" s="37" t="s">
        <v>79</v>
      </c>
      <c r="I49" s="37" t="s">
        <v>3112</v>
      </c>
      <c r="J49" s="38" t="s">
        <v>2971</v>
      </c>
      <c r="K49" s="37"/>
      <c r="L49" s="36"/>
      <c r="M49" s="12" t="str">
        <f t="shared" ref="M49:AB49" si="48">""</f>
        <v/>
      </c>
      <c r="N49" s="12" t="str">
        <f t="shared" si="48"/>
        <v/>
      </c>
      <c r="O49" s="12" t="str">
        <f t="shared" si="48"/>
        <v/>
      </c>
      <c r="P49" s="12" t="str">
        <f t="shared" si="48"/>
        <v/>
      </c>
      <c r="Q49" s="12" t="str">
        <f t="shared" si="48"/>
        <v/>
      </c>
      <c r="R49" s="12" t="str">
        <f t="shared" si="48"/>
        <v/>
      </c>
      <c r="S49" s="12" t="str">
        <f t="shared" si="48"/>
        <v/>
      </c>
      <c r="T49" s="12" t="str">
        <f t="shared" si="48"/>
        <v/>
      </c>
      <c r="U49" s="12" t="str">
        <f t="shared" si="48"/>
        <v/>
      </c>
      <c r="V49" s="12" t="str">
        <f t="shared" si="48"/>
        <v/>
      </c>
      <c r="W49" s="12" t="str">
        <f t="shared" si="48"/>
        <v/>
      </c>
      <c r="X49" s="12" t="str">
        <f t="shared" si="48"/>
        <v/>
      </c>
      <c r="Y49" s="12" t="str">
        <f t="shared" si="48"/>
        <v/>
      </c>
      <c r="Z49" s="12" t="str">
        <f t="shared" si="48"/>
        <v/>
      </c>
      <c r="AA49" s="12" t="str">
        <f t="shared" si="48"/>
        <v/>
      </c>
      <c r="AB49" s="41" t="str">
        <f t="shared" si="48"/>
        <v/>
      </c>
      <c r="AD49" s="42" t="str">
        <f t="array" ref="AD49">INDEX(L:L,SMALL(IF(L2:L51&lt;&gt;"",ROW(2:51),52),ROW(L48)))&amp;""</f>
        <v/>
      </c>
    </row>
    <row r="50" spans="1:49" ht="14.55" customHeight="1" x14ac:dyDescent="0.25">
      <c r="A50" s="35" t="s">
        <v>3025</v>
      </c>
      <c r="B50" s="35">
        <v>8</v>
      </c>
      <c r="C50" s="35">
        <v>1</v>
      </c>
      <c r="D50" s="35">
        <f>IF(COUNTIF(M9:N9,AG4),0,4)</f>
        <v>4</v>
      </c>
      <c r="E50" s="47" t="s">
        <v>3030</v>
      </c>
      <c r="F50" s="37" t="s">
        <v>3106</v>
      </c>
      <c r="G50" s="37" t="str">
        <f>G47</f>
        <v>中型</v>
      </c>
      <c r="H50" s="37" t="s">
        <v>79</v>
      </c>
      <c r="I50" s="37" t="s">
        <v>3112</v>
      </c>
      <c r="J50" s="38" t="s">
        <v>2971</v>
      </c>
      <c r="K50" s="37"/>
      <c r="L50" s="36"/>
      <c r="M50" s="12" t="str">
        <f t="shared" ref="M50:AB50" si="49">""</f>
        <v/>
      </c>
      <c r="N50" s="12" t="str">
        <f t="shared" si="49"/>
        <v/>
      </c>
      <c r="O50" s="12" t="str">
        <f t="shared" si="49"/>
        <v/>
      </c>
      <c r="P50" s="12" t="str">
        <f t="shared" si="49"/>
        <v/>
      </c>
      <c r="Q50" s="12" t="str">
        <f t="shared" si="49"/>
        <v/>
      </c>
      <c r="R50" s="12" t="str">
        <f t="shared" si="49"/>
        <v/>
      </c>
      <c r="S50" s="12" t="str">
        <f t="shared" si="49"/>
        <v/>
      </c>
      <c r="T50" s="12" t="str">
        <f t="shared" si="49"/>
        <v/>
      </c>
      <c r="U50" s="12" t="str">
        <f t="shared" si="49"/>
        <v/>
      </c>
      <c r="V50" s="12" t="str">
        <f t="shared" si="49"/>
        <v/>
      </c>
      <c r="W50" s="12" t="str">
        <f t="shared" si="49"/>
        <v/>
      </c>
      <c r="X50" s="12" t="str">
        <f t="shared" si="49"/>
        <v/>
      </c>
      <c r="Y50" s="12" t="str">
        <f t="shared" si="49"/>
        <v/>
      </c>
      <c r="Z50" s="12" t="str">
        <f t="shared" si="49"/>
        <v/>
      </c>
      <c r="AA50" s="12" t="str">
        <f t="shared" si="49"/>
        <v/>
      </c>
      <c r="AB50" s="41" t="str">
        <f t="shared" si="49"/>
        <v/>
      </c>
      <c r="AD50" s="42" t="str">
        <f t="array" ref="AD50">INDEX(L:L,SMALL(IF(L2:L51&lt;&gt;"",ROW(2:51),52),ROW(L49)))&amp;""</f>
        <v/>
      </c>
    </row>
    <row r="51" spans="1:49" ht="14.55" customHeight="1" x14ac:dyDescent="0.25">
      <c r="A51" s="40" t="s">
        <v>2996</v>
      </c>
      <c r="B51" s="40"/>
      <c r="C51" s="40" t="e">
        <f>IF(AG3=L5,3,5)</f>
        <v>#REF!</v>
      </c>
      <c r="D51" s="40" t="e">
        <f>IF(AG3=L5,6,8)</f>
        <v>#REF!</v>
      </c>
      <c r="E51" s="47" t="s">
        <v>3031</v>
      </c>
      <c r="F51" s="37" t="s">
        <v>3116</v>
      </c>
      <c r="G51" s="37" t="str">
        <f>G47</f>
        <v>中型</v>
      </c>
      <c r="H51" s="37" t="s">
        <v>79</v>
      </c>
      <c r="I51" s="37" t="s">
        <v>3112</v>
      </c>
      <c r="J51" s="38" t="s">
        <v>2971</v>
      </c>
      <c r="K51" s="37"/>
      <c r="L51" s="71"/>
      <c r="M51" s="52" t="str">
        <f t="shared" ref="M51:AB51" si="50">""</f>
        <v/>
      </c>
      <c r="N51" s="52" t="str">
        <f t="shared" si="50"/>
        <v/>
      </c>
      <c r="O51" s="52" t="str">
        <f t="shared" si="50"/>
        <v/>
      </c>
      <c r="P51" s="52" t="str">
        <f t="shared" si="50"/>
        <v/>
      </c>
      <c r="Q51" s="52" t="str">
        <f t="shared" si="50"/>
        <v/>
      </c>
      <c r="R51" s="52" t="str">
        <f t="shared" si="50"/>
        <v/>
      </c>
      <c r="S51" s="52" t="str">
        <f t="shared" si="50"/>
        <v/>
      </c>
      <c r="T51" s="52" t="str">
        <f t="shared" si="50"/>
        <v/>
      </c>
      <c r="U51" s="52" t="str">
        <f t="shared" si="50"/>
        <v/>
      </c>
      <c r="V51" s="52" t="str">
        <f t="shared" si="50"/>
        <v/>
      </c>
      <c r="W51" s="52" t="str">
        <f t="shared" si="50"/>
        <v/>
      </c>
      <c r="X51" s="52" t="str">
        <f t="shared" si="50"/>
        <v/>
      </c>
      <c r="Y51" s="52" t="str">
        <f t="shared" si="50"/>
        <v/>
      </c>
      <c r="Z51" s="52" t="str">
        <f t="shared" si="50"/>
        <v/>
      </c>
      <c r="AA51" s="52" t="str">
        <f t="shared" si="50"/>
        <v/>
      </c>
      <c r="AB51" s="62" t="str">
        <f t="shared" si="50"/>
        <v/>
      </c>
      <c r="AD51" s="72" t="str">
        <f t="array" ref="AD51">INDEX(L:L,SMALL(IF(L2:L51&lt;&gt;"",ROW(2:51),52),ROW(L50)))&amp;""</f>
        <v/>
      </c>
    </row>
    <row r="52" spans="1:49" ht="14.55" customHeight="1" x14ac:dyDescent="0.25">
      <c r="A52" s="35" t="s">
        <v>3027</v>
      </c>
      <c r="B52" s="35">
        <v>9</v>
      </c>
      <c r="C52" s="35">
        <v>1</v>
      </c>
      <c r="D52" s="35">
        <f>IF(COUNTIF(N10:U10,AG4),2,3)</f>
        <v>3</v>
      </c>
      <c r="E52" s="47" t="s">
        <v>3032</v>
      </c>
      <c r="F52" s="37" t="s">
        <v>3106</v>
      </c>
      <c r="G52" s="37" t="str">
        <f>G47</f>
        <v>中型</v>
      </c>
      <c r="H52" s="37" t="s">
        <v>79</v>
      </c>
      <c r="I52" s="37" t="s">
        <v>3112</v>
      </c>
      <c r="J52" s="38" t="s">
        <v>2971</v>
      </c>
      <c r="K52" s="37"/>
    </row>
    <row r="53" spans="1:49" ht="14.55" customHeight="1" x14ac:dyDescent="0.25">
      <c r="A53" s="48" t="s">
        <v>3028</v>
      </c>
      <c r="B53" s="48"/>
      <c r="C53" s="48">
        <v>4</v>
      </c>
      <c r="D53" s="48">
        <v>6</v>
      </c>
      <c r="E53" s="47" t="s">
        <v>3033</v>
      </c>
      <c r="F53" s="37" t="s">
        <v>3117</v>
      </c>
      <c r="G53" s="37" t="str">
        <f>G47</f>
        <v>中型</v>
      </c>
      <c r="H53" s="37" t="s">
        <v>79</v>
      </c>
      <c r="I53" s="37" t="s">
        <v>3112</v>
      </c>
      <c r="J53" s="38" t="s">
        <v>2971</v>
      </c>
      <c r="K53" s="37"/>
      <c r="L53" s="17"/>
      <c r="M53" s="13">
        <v>1</v>
      </c>
      <c r="N53" s="13">
        <v>2</v>
      </c>
      <c r="O53" s="13">
        <v>3</v>
      </c>
      <c r="P53" s="13">
        <v>4</v>
      </c>
      <c r="Q53" s="13">
        <v>5</v>
      </c>
      <c r="R53" s="13">
        <v>6</v>
      </c>
      <c r="S53" s="13">
        <v>7</v>
      </c>
      <c r="T53" s="13">
        <v>8</v>
      </c>
      <c r="U53" s="13">
        <v>9</v>
      </c>
      <c r="V53" s="13">
        <v>10</v>
      </c>
      <c r="W53" s="13">
        <v>11</v>
      </c>
      <c r="X53" s="13">
        <v>12</v>
      </c>
      <c r="Y53" s="13">
        <v>13</v>
      </c>
      <c r="Z53" s="13">
        <v>14</v>
      </c>
      <c r="AA53" s="13">
        <v>15</v>
      </c>
      <c r="AB53" s="13">
        <v>16</v>
      </c>
      <c r="AC53" s="13">
        <v>17</v>
      </c>
      <c r="AD53" s="13">
        <v>18</v>
      </c>
      <c r="AE53" s="13">
        <v>19</v>
      </c>
      <c r="AF53" s="13">
        <v>20</v>
      </c>
      <c r="AG53" s="13">
        <v>21</v>
      </c>
      <c r="AH53" s="13">
        <v>22</v>
      </c>
      <c r="AI53" s="13">
        <v>23</v>
      </c>
      <c r="AJ53" s="13">
        <v>24</v>
      </c>
      <c r="AK53" s="13">
        <v>25</v>
      </c>
      <c r="AL53" s="13">
        <v>26</v>
      </c>
      <c r="AM53" s="13">
        <v>27</v>
      </c>
      <c r="AN53" s="13">
        <v>28</v>
      </c>
      <c r="AO53" s="13">
        <v>29</v>
      </c>
      <c r="AP53" s="13">
        <v>30</v>
      </c>
      <c r="AQ53" s="13">
        <v>31</v>
      </c>
      <c r="AR53" s="13">
        <v>32</v>
      </c>
      <c r="AS53" s="13">
        <v>33</v>
      </c>
      <c r="AT53" s="13">
        <v>34</v>
      </c>
      <c r="AU53" s="13">
        <v>35</v>
      </c>
      <c r="AV53" s="13">
        <v>36</v>
      </c>
      <c r="AW53" s="34">
        <v>37</v>
      </c>
    </row>
    <row r="54" spans="1:49" ht="14.55" customHeight="1" x14ac:dyDescent="0.25">
      <c r="A54" s="39" t="s">
        <v>3029</v>
      </c>
      <c r="B54" s="39"/>
      <c r="C54" s="39">
        <v>7</v>
      </c>
      <c r="D54" s="39">
        <v>7</v>
      </c>
      <c r="E54" s="47" t="s">
        <v>3034</v>
      </c>
      <c r="F54" s="37" t="s">
        <v>3115</v>
      </c>
      <c r="G54" s="37" t="str">
        <f>G47</f>
        <v>中型</v>
      </c>
      <c r="H54" s="37" t="s">
        <v>79</v>
      </c>
      <c r="I54" s="37" t="s">
        <v>3112</v>
      </c>
      <c r="J54" s="38" t="s">
        <v>2971</v>
      </c>
      <c r="K54" s="37"/>
      <c r="L54" s="293" t="s">
        <v>2966</v>
      </c>
      <c r="M54" s="12" t="s">
        <v>56</v>
      </c>
      <c r="N54" s="12" t="s">
        <v>3118</v>
      </c>
      <c r="O54" s="12" t="s">
        <v>3119</v>
      </c>
      <c r="P54" s="12" t="s">
        <v>3120</v>
      </c>
      <c r="Q54" s="12" t="s">
        <v>3121</v>
      </c>
      <c r="R54" s="48" t="s">
        <v>3122</v>
      </c>
      <c r="S54" s="73" t="s">
        <v>3123</v>
      </c>
      <c r="T54" s="74" t="s">
        <v>3124</v>
      </c>
      <c r="U54" s="74" t="s">
        <v>3125</v>
      </c>
      <c r="V54" s="74" t="s">
        <v>3126</v>
      </c>
      <c r="W54" s="75" t="s">
        <v>3127</v>
      </c>
      <c r="X54" s="75" t="s">
        <v>3128</v>
      </c>
      <c r="Y54" s="75" t="s">
        <v>3129</v>
      </c>
      <c r="AW54" s="44"/>
    </row>
    <row r="55" spans="1:49" ht="14.55" customHeight="1" x14ac:dyDescent="0.25">
      <c r="A55" s="39" t="s">
        <v>3030</v>
      </c>
      <c r="B55" s="39"/>
      <c r="C55" s="39">
        <v>8</v>
      </c>
      <c r="D55" s="39">
        <v>8</v>
      </c>
      <c r="E55" s="47" t="s">
        <v>3035</v>
      </c>
      <c r="F55" s="37" t="s">
        <v>3115</v>
      </c>
      <c r="G55" s="37" t="str">
        <f>G47</f>
        <v>中型</v>
      </c>
      <c r="H55" s="37" t="s">
        <v>79</v>
      </c>
      <c r="I55" s="37" t="s">
        <v>3112</v>
      </c>
      <c r="J55" s="38" t="s">
        <v>2971</v>
      </c>
      <c r="K55" s="37"/>
      <c r="L55" s="293"/>
      <c r="M55" s="12" t="s">
        <v>57</v>
      </c>
      <c r="N55" s="12" t="s">
        <v>3130</v>
      </c>
      <c r="O55" s="12" t="s">
        <v>3131</v>
      </c>
      <c r="P55" s="12" t="s">
        <v>3132</v>
      </c>
      <c r="Q55" s="12" t="s">
        <v>3133</v>
      </c>
      <c r="R55" s="48" t="s">
        <v>3134</v>
      </c>
      <c r="S55" s="73" t="s">
        <v>3135</v>
      </c>
      <c r="T55" s="74" t="s">
        <v>3136</v>
      </c>
      <c r="U55" s="74" t="s">
        <v>3137</v>
      </c>
      <c r="V55" s="74" t="s">
        <v>3138</v>
      </c>
      <c r="W55" s="75" t="s">
        <v>3139</v>
      </c>
      <c r="X55" s="75" t="s">
        <v>3140</v>
      </c>
      <c r="Y55" s="75" t="s">
        <v>3141</v>
      </c>
      <c r="AW55" s="44"/>
    </row>
    <row r="56" spans="1:49" ht="14.55" customHeight="1" x14ac:dyDescent="0.25">
      <c r="A56" s="39" t="s">
        <v>3031</v>
      </c>
      <c r="B56" s="39"/>
      <c r="C56" s="39">
        <v>9</v>
      </c>
      <c r="D56" s="39">
        <v>9</v>
      </c>
      <c r="E56" s="47" t="s">
        <v>3036</v>
      </c>
      <c r="F56" s="37" t="s">
        <v>3142</v>
      </c>
      <c r="G56" s="37" t="str">
        <f>G47</f>
        <v>中型</v>
      </c>
      <c r="H56" s="37" t="s">
        <v>79</v>
      </c>
      <c r="I56" s="37" t="s">
        <v>3112</v>
      </c>
      <c r="J56" s="38" t="s">
        <v>2971</v>
      </c>
      <c r="K56" s="37"/>
      <c r="L56" s="293" t="s">
        <v>51</v>
      </c>
      <c r="M56" s="12" t="s">
        <v>56</v>
      </c>
      <c r="N56" s="12" t="s">
        <v>60</v>
      </c>
      <c r="O56" s="12" t="s">
        <v>69</v>
      </c>
      <c r="P56" s="48" t="s">
        <v>3143</v>
      </c>
      <c r="Q56" s="48" t="s">
        <v>150</v>
      </c>
      <c r="R56" s="48" t="s">
        <v>3144</v>
      </c>
      <c r="S56" s="48" t="s">
        <v>3145</v>
      </c>
      <c r="T56" s="73" t="s">
        <v>3143</v>
      </c>
      <c r="U56" s="73" t="s">
        <v>3146</v>
      </c>
      <c r="V56" s="73" t="s">
        <v>3147</v>
      </c>
      <c r="W56" s="73" t="s">
        <v>3145</v>
      </c>
      <c r="X56" s="74" t="s">
        <v>3124</v>
      </c>
      <c r="Y56" s="74" t="s">
        <v>3148</v>
      </c>
      <c r="Z56" s="74" t="s">
        <v>3149</v>
      </c>
      <c r="AA56" s="74" t="s">
        <v>3150</v>
      </c>
      <c r="AB56" s="74" t="s">
        <v>3145</v>
      </c>
      <c r="AC56" s="75" t="s">
        <v>3151</v>
      </c>
      <c r="AD56" s="75" t="s">
        <v>3145</v>
      </c>
      <c r="AE56" s="76" t="s">
        <v>3152</v>
      </c>
      <c r="AF56" s="76" t="s">
        <v>3153</v>
      </c>
      <c r="AG56" s="76" t="s">
        <v>3145</v>
      </c>
      <c r="AH56" s="77" t="s">
        <v>3154</v>
      </c>
      <c r="AI56" s="77" t="s">
        <v>3155</v>
      </c>
      <c r="AJ56" s="77" t="s">
        <v>3145</v>
      </c>
      <c r="AK56" s="78" t="s">
        <v>3127</v>
      </c>
      <c r="AL56" s="78" t="s">
        <v>3156</v>
      </c>
      <c r="AM56" s="78" t="s">
        <v>3157</v>
      </c>
      <c r="AN56" s="78" t="s">
        <v>3145</v>
      </c>
      <c r="AO56" s="48" t="s">
        <v>3158</v>
      </c>
      <c r="AP56" s="48" t="s">
        <v>3159</v>
      </c>
      <c r="AQ56" s="48" t="s">
        <v>3145</v>
      </c>
      <c r="AR56" s="46" t="s">
        <v>67</v>
      </c>
      <c r="AS56" s="46" t="s">
        <v>52</v>
      </c>
      <c r="AT56" s="46" t="s">
        <v>74</v>
      </c>
      <c r="AW56" s="44"/>
    </row>
    <row r="57" spans="1:49" ht="14.55" customHeight="1" x14ac:dyDescent="0.25">
      <c r="A57" s="39" t="s">
        <v>3032</v>
      </c>
      <c r="B57" s="39"/>
      <c r="C57" s="39">
        <v>10</v>
      </c>
      <c r="D57" s="39">
        <v>10</v>
      </c>
      <c r="E57" s="54" t="s">
        <v>3037</v>
      </c>
      <c r="F57" s="37" t="s">
        <v>2984</v>
      </c>
      <c r="G57" s="37" t="s">
        <v>3160</v>
      </c>
      <c r="H57" s="37" t="s">
        <v>79</v>
      </c>
      <c r="I57" s="37" t="s">
        <v>2985</v>
      </c>
      <c r="J57" s="38" t="s">
        <v>2971</v>
      </c>
      <c r="K57" s="37"/>
      <c r="L57" s="293"/>
      <c r="M57" s="12" t="s">
        <v>57</v>
      </c>
      <c r="N57" s="12" t="s">
        <v>61</v>
      </c>
      <c r="O57" s="12" t="s">
        <v>70</v>
      </c>
      <c r="P57" s="48" t="s">
        <v>3161</v>
      </c>
      <c r="Q57" s="48" t="s">
        <v>3162</v>
      </c>
      <c r="R57" s="48" t="s">
        <v>3163</v>
      </c>
      <c r="S57" s="48" t="s">
        <v>3164</v>
      </c>
      <c r="T57" s="73" t="s">
        <v>3161</v>
      </c>
      <c r="U57" s="73" t="s">
        <v>3165</v>
      </c>
      <c r="V57" s="73" t="s">
        <v>3166</v>
      </c>
      <c r="W57" s="73" t="s">
        <v>3164</v>
      </c>
      <c r="X57" s="74" t="s">
        <v>3136</v>
      </c>
      <c r="Y57" s="74" t="s">
        <v>3167</v>
      </c>
      <c r="Z57" s="74" t="s">
        <v>3168</v>
      </c>
      <c r="AA57" s="74" t="s">
        <v>3169</v>
      </c>
      <c r="AB57" s="74" t="s">
        <v>3164</v>
      </c>
      <c r="AC57" s="75" t="s">
        <v>3170</v>
      </c>
      <c r="AD57" s="75" t="s">
        <v>3171</v>
      </c>
      <c r="AE57" s="76" t="s">
        <v>3172</v>
      </c>
      <c r="AF57" s="76" t="s">
        <v>3173</v>
      </c>
      <c r="AG57" s="76" t="s">
        <v>3174</v>
      </c>
      <c r="AH57" s="77" t="s">
        <v>3175</v>
      </c>
      <c r="AI57" s="77" t="s">
        <v>3176</v>
      </c>
      <c r="AJ57" s="77" t="s">
        <v>3174</v>
      </c>
      <c r="AK57" s="78" t="s">
        <v>3177</v>
      </c>
      <c r="AL57" s="78" t="s">
        <v>3178</v>
      </c>
      <c r="AM57" s="78" t="s">
        <v>3179</v>
      </c>
      <c r="AN57" s="78" t="s">
        <v>3164</v>
      </c>
      <c r="AO57" s="48" t="s">
        <v>3180</v>
      </c>
      <c r="AP57" s="48" t="s">
        <v>3181</v>
      </c>
      <c r="AQ57" s="48" t="s">
        <v>3164</v>
      </c>
      <c r="AR57" s="46" t="s">
        <v>68</v>
      </c>
      <c r="AS57" s="46" t="s">
        <v>53</v>
      </c>
      <c r="AT57" s="46" t="s">
        <v>75</v>
      </c>
      <c r="AW57" s="44"/>
    </row>
    <row r="58" spans="1:49" ht="14.55" customHeight="1" x14ac:dyDescent="0.25">
      <c r="A58" s="39" t="s">
        <v>3033</v>
      </c>
      <c r="B58" s="39"/>
      <c r="C58" s="39">
        <v>11</v>
      </c>
      <c r="D58" s="39">
        <v>11</v>
      </c>
      <c r="E58" s="54" t="s">
        <v>3038</v>
      </c>
      <c r="F58" s="37" t="s">
        <v>2984</v>
      </c>
      <c r="G58" s="37" t="s">
        <v>101</v>
      </c>
      <c r="H58" s="37" t="s">
        <v>79</v>
      </c>
      <c r="I58" s="37" t="s">
        <v>2985</v>
      </c>
      <c r="J58" s="38" t="s">
        <v>2971</v>
      </c>
      <c r="K58" s="37"/>
      <c r="L58" s="293" t="s">
        <v>2986</v>
      </c>
      <c r="M58" s="12" t="s">
        <v>2599</v>
      </c>
      <c r="N58" s="12" t="s">
        <v>3182</v>
      </c>
      <c r="O58" s="12" t="s">
        <v>3183</v>
      </c>
      <c r="P58" s="48" t="s">
        <v>3184</v>
      </c>
      <c r="Q58" s="73" t="s">
        <v>3185</v>
      </c>
      <c r="R58" s="74" t="s">
        <v>3186</v>
      </c>
      <c r="S58" s="75" t="s">
        <v>3127</v>
      </c>
      <c r="T58" s="75" t="s">
        <v>3187</v>
      </c>
      <c r="U58" s="75" t="s">
        <v>3188</v>
      </c>
      <c r="V58" s="76" t="s">
        <v>3127</v>
      </c>
      <c r="W58" s="76" t="s">
        <v>3189</v>
      </c>
      <c r="X58" s="76" t="s">
        <v>3190</v>
      </c>
      <c r="Y58" s="77" t="s">
        <v>3191</v>
      </c>
      <c r="Z58" s="77" t="s">
        <v>3192</v>
      </c>
      <c r="AW58" s="44"/>
    </row>
    <row r="59" spans="1:49" ht="14.55" customHeight="1" x14ac:dyDescent="0.25">
      <c r="A59" s="39" t="s">
        <v>3034</v>
      </c>
      <c r="B59" s="39"/>
      <c r="C59" s="39">
        <v>12</v>
      </c>
      <c r="D59" s="39">
        <v>12</v>
      </c>
      <c r="E59" s="54" t="s">
        <v>3039</v>
      </c>
      <c r="F59" s="37" t="s">
        <v>2984</v>
      </c>
      <c r="G59" s="37" t="s">
        <v>101</v>
      </c>
      <c r="H59" s="37" t="s">
        <v>79</v>
      </c>
      <c r="I59" s="37" t="s">
        <v>2985</v>
      </c>
      <c r="J59" s="38" t="s">
        <v>2971</v>
      </c>
      <c r="K59" s="37"/>
      <c r="L59" s="293"/>
      <c r="M59" s="12" t="s">
        <v>3193</v>
      </c>
      <c r="N59" s="12" t="s">
        <v>3194</v>
      </c>
      <c r="O59" s="12" t="s">
        <v>3195</v>
      </c>
      <c r="P59" s="48" t="s">
        <v>3196</v>
      </c>
      <c r="Q59" s="73" t="s">
        <v>3197</v>
      </c>
      <c r="R59" s="74" t="s">
        <v>3198</v>
      </c>
      <c r="S59" s="75" t="s">
        <v>3199</v>
      </c>
      <c r="T59" s="75" t="s">
        <v>3200</v>
      </c>
      <c r="U59" s="75" t="s">
        <v>3201</v>
      </c>
      <c r="V59" s="76" t="s">
        <v>3202</v>
      </c>
      <c r="W59" s="76" t="s">
        <v>3203</v>
      </c>
      <c r="X59" s="76" t="s">
        <v>3204</v>
      </c>
      <c r="Y59" s="77" t="s">
        <v>3205</v>
      </c>
      <c r="Z59" s="77" t="s">
        <v>3206</v>
      </c>
      <c r="AW59" s="44"/>
    </row>
    <row r="60" spans="1:49" ht="14.55" customHeight="1" x14ac:dyDescent="0.25">
      <c r="A60" s="39" t="s">
        <v>3035</v>
      </c>
      <c r="B60" s="39"/>
      <c r="C60" s="39">
        <v>13</v>
      </c>
      <c r="D60" s="39">
        <v>13</v>
      </c>
      <c r="E60" s="54" t="s">
        <v>3043</v>
      </c>
      <c r="F60" s="37" t="s">
        <v>2984</v>
      </c>
      <c r="G60" s="37" t="s">
        <v>101</v>
      </c>
      <c r="H60" s="37" t="s">
        <v>79</v>
      </c>
      <c r="I60" s="37" t="s">
        <v>2985</v>
      </c>
      <c r="J60" s="38" t="s">
        <v>2971</v>
      </c>
      <c r="K60" s="37"/>
      <c r="L60" s="293" t="s">
        <v>2994</v>
      </c>
      <c r="M60" s="48" t="s">
        <v>103</v>
      </c>
      <c r="N60" s="48" t="s">
        <v>86</v>
      </c>
      <c r="O60" s="73" t="s">
        <v>3127</v>
      </c>
      <c r="P60" s="73" t="s">
        <v>56</v>
      </c>
      <c r="Q60" s="73" t="s">
        <v>3207</v>
      </c>
      <c r="R60" s="73" t="s">
        <v>3208</v>
      </c>
      <c r="S60" s="74" t="s">
        <v>3127</v>
      </c>
      <c r="T60" s="74" t="s">
        <v>890</v>
      </c>
      <c r="U60" s="74" t="s">
        <v>3209</v>
      </c>
      <c r="V60" s="74" t="s">
        <v>3210</v>
      </c>
      <c r="W60" s="74" t="s">
        <v>3211</v>
      </c>
      <c r="X60" s="75" t="s">
        <v>3127</v>
      </c>
      <c r="Y60" s="75" t="s">
        <v>3212</v>
      </c>
      <c r="Z60" s="75" t="s">
        <v>3213</v>
      </c>
      <c r="AA60" s="75" t="s">
        <v>3214</v>
      </c>
      <c r="AB60" s="76" t="s">
        <v>3127</v>
      </c>
      <c r="AC60" s="76" t="s">
        <v>3215</v>
      </c>
      <c r="AD60" s="76" t="s">
        <v>3216</v>
      </c>
      <c r="AE60" s="76" t="s">
        <v>3217</v>
      </c>
      <c r="AF60" s="77" t="s">
        <v>3127</v>
      </c>
      <c r="AG60" s="77" t="s">
        <v>3218</v>
      </c>
      <c r="AH60" s="77" t="s">
        <v>3219</v>
      </c>
      <c r="AI60" s="77" t="s">
        <v>3220</v>
      </c>
      <c r="AJ60" s="12"/>
      <c r="AK60" s="12"/>
      <c r="AL60" s="12"/>
      <c r="AM60" s="12"/>
      <c r="AN60" s="12"/>
      <c r="AO60" s="12"/>
      <c r="AP60" s="12"/>
      <c r="AW60" s="44"/>
    </row>
    <row r="61" spans="1:49" ht="14.55" customHeight="1" x14ac:dyDescent="0.25">
      <c r="A61" s="39" t="s">
        <v>3036</v>
      </c>
      <c r="B61" s="39"/>
      <c r="C61" s="39">
        <v>14</v>
      </c>
      <c r="D61" s="39">
        <v>14</v>
      </c>
      <c r="E61" s="54" t="s">
        <v>3046</v>
      </c>
      <c r="F61" s="37" t="s">
        <v>2984</v>
      </c>
      <c r="G61" s="37" t="s">
        <v>101</v>
      </c>
      <c r="H61" s="53" t="s">
        <v>3026</v>
      </c>
      <c r="I61" s="37" t="s">
        <v>2985</v>
      </c>
      <c r="J61" s="38" t="s">
        <v>2971</v>
      </c>
      <c r="K61" s="37"/>
      <c r="L61" s="293"/>
      <c r="M61" s="48" t="s">
        <v>3221</v>
      </c>
      <c r="N61" s="48" t="s">
        <v>3222</v>
      </c>
      <c r="O61" s="73" t="s">
        <v>3223</v>
      </c>
      <c r="P61" s="73" t="s">
        <v>57</v>
      </c>
      <c r="Q61" s="73" t="s">
        <v>3224</v>
      </c>
      <c r="R61" s="73" t="s">
        <v>3225</v>
      </c>
      <c r="S61" s="74" t="s">
        <v>3226</v>
      </c>
      <c r="T61" s="74" t="s">
        <v>3227</v>
      </c>
      <c r="U61" s="74" t="s">
        <v>3228</v>
      </c>
      <c r="V61" s="74" t="s">
        <v>3229</v>
      </c>
      <c r="W61" s="74" t="s">
        <v>3230</v>
      </c>
      <c r="X61" s="75" t="s">
        <v>3231</v>
      </c>
      <c r="Y61" s="75" t="s">
        <v>3232</v>
      </c>
      <c r="Z61" s="75" t="s">
        <v>3233</v>
      </c>
      <c r="AA61" s="75" t="s">
        <v>3234</v>
      </c>
      <c r="AB61" s="76" t="s">
        <v>3235</v>
      </c>
      <c r="AC61" s="76" t="s">
        <v>3236</v>
      </c>
      <c r="AD61" s="76" t="s">
        <v>3237</v>
      </c>
      <c r="AE61" s="76" t="s">
        <v>3238</v>
      </c>
      <c r="AF61" s="77" t="s">
        <v>3239</v>
      </c>
      <c r="AG61" s="77" t="s">
        <v>3240</v>
      </c>
      <c r="AH61" s="77" t="s">
        <v>3241</v>
      </c>
      <c r="AI61" s="77" t="s">
        <v>3242</v>
      </c>
      <c r="AJ61" s="12"/>
      <c r="AK61" s="12"/>
      <c r="AL61" s="12"/>
      <c r="AM61" s="12"/>
      <c r="AN61" s="12"/>
      <c r="AO61" s="12"/>
      <c r="AP61" s="12"/>
      <c r="AW61" s="44"/>
    </row>
    <row r="62" spans="1:49" ht="14.55" customHeight="1" x14ac:dyDescent="0.25">
      <c r="A62" s="79" t="s">
        <v>3037</v>
      </c>
      <c r="B62" s="79">
        <v>10</v>
      </c>
      <c r="C62" s="79">
        <v>1</v>
      </c>
      <c r="D62" s="79" t="e">
        <f>IF(AG2&lt;3,4,8)</f>
        <v>#REF!</v>
      </c>
      <c r="E62" s="54" t="s">
        <v>3048</v>
      </c>
      <c r="F62" s="37" t="s">
        <v>2984</v>
      </c>
      <c r="G62" s="37" t="s">
        <v>3160</v>
      </c>
      <c r="H62" s="80" t="s">
        <v>3243</v>
      </c>
      <c r="I62" s="37" t="s">
        <v>2985</v>
      </c>
      <c r="J62" s="38" t="s">
        <v>2971</v>
      </c>
      <c r="K62" s="37"/>
      <c r="L62" s="293" t="s">
        <v>3004</v>
      </c>
      <c r="M62" s="12" t="s">
        <v>3244</v>
      </c>
      <c r="N62" s="12" t="s">
        <v>3245</v>
      </c>
      <c r="O62" s="12" t="s">
        <v>3246</v>
      </c>
      <c r="P62" s="73" t="s">
        <v>56</v>
      </c>
      <c r="Q62" s="73" t="s">
        <v>3247</v>
      </c>
      <c r="R62" s="74" t="s">
        <v>56</v>
      </c>
      <c r="S62" s="74" t="s">
        <v>3248</v>
      </c>
      <c r="T62" s="75" t="s">
        <v>3245</v>
      </c>
      <c r="U62" s="75" t="s">
        <v>3249</v>
      </c>
      <c r="V62" s="76" t="s">
        <v>3245</v>
      </c>
      <c r="W62" s="76" t="s">
        <v>3250</v>
      </c>
      <c r="X62" s="76" t="s">
        <v>3251</v>
      </c>
      <c r="Y62" s="77" t="s">
        <v>3245</v>
      </c>
      <c r="Z62" s="77" t="s">
        <v>3252</v>
      </c>
      <c r="AW62" s="44"/>
    </row>
    <row r="63" spans="1:49" ht="14.55" customHeight="1" x14ac:dyDescent="0.25">
      <c r="A63" s="79" t="s">
        <v>3038</v>
      </c>
      <c r="B63" s="79">
        <v>11</v>
      </c>
      <c r="C63" s="79">
        <v>1</v>
      </c>
      <c r="D63" s="79">
        <v>4</v>
      </c>
      <c r="E63" s="54" t="s">
        <v>3051</v>
      </c>
      <c r="F63" s="37" t="s">
        <v>2984</v>
      </c>
      <c r="G63" s="37" t="s">
        <v>101</v>
      </c>
      <c r="H63" s="53" t="s">
        <v>3026</v>
      </c>
      <c r="I63" s="37" t="s">
        <v>2985</v>
      </c>
      <c r="J63" s="38" t="s">
        <v>2971</v>
      </c>
      <c r="K63" s="37"/>
      <c r="L63" s="293"/>
      <c r="M63" s="12" t="s">
        <v>3253</v>
      </c>
      <c r="N63" s="12" t="s">
        <v>3254</v>
      </c>
      <c r="O63" s="12" t="s">
        <v>3255</v>
      </c>
      <c r="P63" s="73" t="s">
        <v>57</v>
      </c>
      <c r="Q63" s="73" t="s">
        <v>3256</v>
      </c>
      <c r="R63" s="74" t="s">
        <v>57</v>
      </c>
      <c r="S63" s="74" t="s">
        <v>3257</v>
      </c>
      <c r="T63" s="75" t="s">
        <v>3258</v>
      </c>
      <c r="U63" s="75" t="s">
        <v>3259</v>
      </c>
      <c r="V63" s="76" t="s">
        <v>3260</v>
      </c>
      <c r="W63" s="76" t="s">
        <v>3261</v>
      </c>
      <c r="X63" s="76" t="s">
        <v>3262</v>
      </c>
      <c r="Y63" s="77" t="s">
        <v>3263</v>
      </c>
      <c r="Z63" s="77" t="s">
        <v>3264</v>
      </c>
      <c r="AW63" s="44"/>
    </row>
    <row r="64" spans="1:49" ht="14.55" customHeight="1" x14ac:dyDescent="0.25">
      <c r="A64" s="79" t="s">
        <v>3039</v>
      </c>
      <c r="B64" s="79">
        <v>12</v>
      </c>
      <c r="C64" s="79">
        <v>1</v>
      </c>
      <c r="D64" s="79">
        <v>3</v>
      </c>
      <c r="E64" s="54" t="s">
        <v>3055</v>
      </c>
      <c r="F64" s="37" t="s">
        <v>2984</v>
      </c>
      <c r="G64" s="37" t="s">
        <v>217</v>
      </c>
      <c r="H64" s="37" t="s">
        <v>79</v>
      </c>
      <c r="I64" s="37" t="s">
        <v>2985</v>
      </c>
      <c r="J64" s="81" t="s">
        <v>3265</v>
      </c>
      <c r="K64" s="37"/>
      <c r="L64" s="293" t="s">
        <v>3011</v>
      </c>
      <c r="M64" s="12" t="s">
        <v>56</v>
      </c>
      <c r="N64" s="12" t="s">
        <v>3266</v>
      </c>
      <c r="O64" s="48" t="s">
        <v>3267</v>
      </c>
      <c r="P64" s="48" t="s">
        <v>3268</v>
      </c>
      <c r="Q64" s="73" t="s">
        <v>3269</v>
      </c>
      <c r="R64" s="73" t="s">
        <v>3270</v>
      </c>
      <c r="S64" s="74" t="s">
        <v>3124</v>
      </c>
      <c r="T64" s="74" t="s">
        <v>3271</v>
      </c>
      <c r="U64" s="74" t="s">
        <v>3272</v>
      </c>
      <c r="V64" s="75" t="s">
        <v>3127</v>
      </c>
      <c r="W64" s="75" t="s">
        <v>3273</v>
      </c>
      <c r="X64" s="75" t="s">
        <v>3274</v>
      </c>
      <c r="AW64" s="44"/>
    </row>
    <row r="65" spans="1:49" ht="14.55" customHeight="1" x14ac:dyDescent="0.25">
      <c r="A65" s="79" t="s">
        <v>3043</v>
      </c>
      <c r="B65" s="79">
        <v>13</v>
      </c>
      <c r="C65" s="79">
        <v>1</v>
      </c>
      <c r="D65" s="79">
        <v>3</v>
      </c>
      <c r="E65" s="54" t="s">
        <v>3057</v>
      </c>
      <c r="F65" s="37" t="str">
        <f>F64</f>
        <v>自选两项属性分别+2/+1或自选三项属性+1</v>
      </c>
      <c r="G65" s="37" t="s">
        <v>101</v>
      </c>
      <c r="H65" s="37" t="s">
        <v>79</v>
      </c>
      <c r="I65" s="37" t="s">
        <v>2985</v>
      </c>
      <c r="J65" s="81" t="s">
        <v>3265</v>
      </c>
      <c r="K65" s="37"/>
      <c r="L65" s="293"/>
      <c r="M65" s="12" t="s">
        <v>57</v>
      </c>
      <c r="N65" s="12" t="s">
        <v>3275</v>
      </c>
      <c r="O65" s="48" t="s">
        <v>3276</v>
      </c>
      <c r="P65" s="48" t="s">
        <v>3277</v>
      </c>
      <c r="Q65" s="73" t="s">
        <v>3278</v>
      </c>
      <c r="R65" s="73" t="s">
        <v>3279</v>
      </c>
      <c r="S65" s="74" t="s">
        <v>3136</v>
      </c>
      <c r="T65" s="74" t="s">
        <v>3280</v>
      </c>
      <c r="U65" s="74" t="s">
        <v>3281</v>
      </c>
      <c r="V65" s="75" t="s">
        <v>3282</v>
      </c>
      <c r="W65" s="75" t="s">
        <v>3283</v>
      </c>
      <c r="X65" s="75" t="s">
        <v>3284</v>
      </c>
      <c r="AW65" s="44"/>
    </row>
    <row r="66" spans="1:49" ht="14.55" customHeight="1" x14ac:dyDescent="0.25">
      <c r="A66" s="79" t="s">
        <v>3046</v>
      </c>
      <c r="B66" s="79">
        <v>14</v>
      </c>
      <c r="C66" s="79">
        <v>1</v>
      </c>
      <c r="D66" s="79">
        <v>5</v>
      </c>
      <c r="E66" s="54" t="s">
        <v>3060</v>
      </c>
      <c r="F66" s="37" t="str">
        <f>F64</f>
        <v>自选两项属性分别+2/+1或自选三项属性+1</v>
      </c>
      <c r="G66" s="37" t="str">
        <f>G65</f>
        <v>中型</v>
      </c>
      <c r="H66" s="37" t="s">
        <v>79</v>
      </c>
      <c r="I66" s="37" t="s">
        <v>2985</v>
      </c>
      <c r="J66" s="81" t="s">
        <v>3265</v>
      </c>
      <c r="K66" s="37"/>
      <c r="L66" s="293" t="s">
        <v>3017</v>
      </c>
      <c r="M66" s="12" t="s">
        <v>56</v>
      </c>
      <c r="N66" s="12" t="s">
        <v>69</v>
      </c>
      <c r="O66" s="82" t="str">
        <f>IF(AND(COUNTIF(AN18:AN21,"&gt;=1"),COUNTIF(AM2:AM15,"多才多艺")=0),"","多才多艺")</f>
        <v>多才多艺</v>
      </c>
      <c r="P66" s="83" t="e">
        <f>IF(OR(AN18&lt;1,COUNTIF(AM2:AM15,"木精灵武器训练")),"木精灵武器训练","")</f>
        <v>#REF!</v>
      </c>
      <c r="Q66" s="84" t="e">
        <f>IF(OR(AN18&lt;1,COUNTIF(AM2:AM15,"轻捷步伐")),"轻捷步伐","")</f>
        <v>#REF!</v>
      </c>
      <c r="R66" s="84" t="e">
        <f>IF(OR(AN18&lt;1,COUNTIF(AM2:AM15,"野性面具")),"野性面具","")</f>
        <v>#REF!</v>
      </c>
      <c r="S66" s="85" t="e">
        <f>IF(OR(AN19&lt;1,COUNTIF(AM2:AM15,"高等精灵武器训练")),"高等精灵武器训练","")</f>
        <v>#REF!</v>
      </c>
      <c r="T66" s="85" t="e">
        <f>IF(OR(AN19&lt;1,COUNTIF(AM2:AM15,"戏法")),"戏法","")</f>
        <v>#REF!</v>
      </c>
      <c r="U66" s="86" t="e">
        <f>IF(OR(AN20&lt;1,COUNTIF(AM2:AM15,"卓尔魔法")),"卓尔魔法","")</f>
        <v>#REF!</v>
      </c>
      <c r="V66" s="87" t="e">
        <f>IF(OR(AN20&lt;1,COUNTIF(AM2:AM15,"游泳速度")),"游泳速度","")</f>
        <v>#REF!</v>
      </c>
      <c r="W66" s="76" t="s">
        <v>3127</v>
      </c>
      <c r="X66" s="76" t="s">
        <v>3285</v>
      </c>
      <c r="Y66" s="76" t="s">
        <v>3286</v>
      </c>
      <c r="Z66" s="77" t="s">
        <v>3127</v>
      </c>
      <c r="AA66" s="77" t="s">
        <v>3287</v>
      </c>
      <c r="AB66" s="77" t="s">
        <v>3288</v>
      </c>
      <c r="AC66" s="77" t="s">
        <v>3289</v>
      </c>
      <c r="AW66" s="44"/>
    </row>
    <row r="67" spans="1:49" ht="14.55" customHeight="1" x14ac:dyDescent="0.25">
      <c r="A67" s="79" t="s">
        <v>3048</v>
      </c>
      <c r="B67" s="79">
        <v>15</v>
      </c>
      <c r="C67" s="79">
        <v>1</v>
      </c>
      <c r="D67" s="79">
        <v>4</v>
      </c>
      <c r="E67" s="54" t="s">
        <v>3063</v>
      </c>
      <c r="F67" s="37" t="s">
        <v>2984</v>
      </c>
      <c r="G67" s="37" t="s">
        <v>217</v>
      </c>
      <c r="H67" s="37" t="s">
        <v>79</v>
      </c>
      <c r="I67" s="37" t="s">
        <v>2985</v>
      </c>
      <c r="J67" s="38" t="s">
        <v>2971</v>
      </c>
      <c r="K67" s="37"/>
      <c r="L67" s="293"/>
      <c r="M67" s="12" t="s">
        <v>57</v>
      </c>
      <c r="N67" s="12" t="s">
        <v>70</v>
      </c>
      <c r="O67" s="82" t="s">
        <v>3290</v>
      </c>
      <c r="P67" s="83" t="s">
        <v>3161</v>
      </c>
      <c r="Q67" s="84" t="s">
        <v>3165</v>
      </c>
      <c r="R67" s="84" t="s">
        <v>3166</v>
      </c>
      <c r="S67" s="85" t="s">
        <v>3161</v>
      </c>
      <c r="T67" s="85" t="s">
        <v>3162</v>
      </c>
      <c r="U67" s="86" t="s">
        <v>3168</v>
      </c>
      <c r="V67" s="87" t="s">
        <v>3291</v>
      </c>
      <c r="W67" s="76" t="s">
        <v>3292</v>
      </c>
      <c r="X67" s="76" t="s">
        <v>3293</v>
      </c>
      <c r="Y67" s="76" t="s">
        <v>3294</v>
      </c>
      <c r="Z67" s="77" t="s">
        <v>3295</v>
      </c>
      <c r="AA67" s="77" t="s">
        <v>3296</v>
      </c>
      <c r="AB67" s="77" t="s">
        <v>3297</v>
      </c>
      <c r="AC67" s="77" t="s">
        <v>3298</v>
      </c>
      <c r="AW67" s="44"/>
    </row>
    <row r="68" spans="1:49" ht="14.55" customHeight="1" x14ac:dyDescent="0.25">
      <c r="A68" s="79" t="s">
        <v>3051</v>
      </c>
      <c r="B68" s="79">
        <v>16</v>
      </c>
      <c r="C68" s="79">
        <v>1</v>
      </c>
      <c r="D68" s="79">
        <v>5</v>
      </c>
      <c r="E68" s="54" t="s">
        <v>3066</v>
      </c>
      <c r="F68" s="37" t="s">
        <v>2984</v>
      </c>
      <c r="G68" s="37" t="s">
        <v>101</v>
      </c>
      <c r="H68" s="37" t="s">
        <v>79</v>
      </c>
      <c r="I68" s="37" t="s">
        <v>2985</v>
      </c>
      <c r="J68" s="38" t="s">
        <v>2971</v>
      </c>
      <c r="K68" s="37"/>
      <c r="L68" s="293" t="s">
        <v>3025</v>
      </c>
      <c r="M68" s="12" t="s">
        <v>56</v>
      </c>
      <c r="N68" s="12" t="s">
        <v>3299</v>
      </c>
      <c r="O68" s="12" t="s">
        <v>3300</v>
      </c>
      <c r="P68" s="12" t="s">
        <v>3301</v>
      </c>
      <c r="Q68" s="48" t="s">
        <v>3127</v>
      </c>
      <c r="R68" s="48" t="s">
        <v>56</v>
      </c>
      <c r="S68" s="48" t="s">
        <v>3207</v>
      </c>
      <c r="T68" s="48" t="s">
        <v>3208</v>
      </c>
      <c r="AW68" s="44"/>
    </row>
    <row r="69" spans="1:49" ht="14.55" customHeight="1" x14ac:dyDescent="0.25">
      <c r="A69" s="79" t="s">
        <v>3055</v>
      </c>
      <c r="B69" s="79">
        <v>17</v>
      </c>
      <c r="C69" s="79">
        <v>1</v>
      </c>
      <c r="D69" s="79">
        <v>4</v>
      </c>
      <c r="E69" s="54" t="s">
        <v>3068</v>
      </c>
      <c r="F69" s="37" t="s">
        <v>2984</v>
      </c>
      <c r="G69" s="37" t="s">
        <v>3160</v>
      </c>
      <c r="H69" s="37" t="s">
        <v>79</v>
      </c>
      <c r="I69" s="37" t="s">
        <v>2985</v>
      </c>
      <c r="J69" s="38" t="s">
        <v>2971</v>
      </c>
      <c r="K69" s="37"/>
      <c r="L69" s="293"/>
      <c r="M69" s="12" t="s">
        <v>57</v>
      </c>
      <c r="N69" s="12" t="s">
        <v>3302</v>
      </c>
      <c r="O69" s="12" t="s">
        <v>3303</v>
      </c>
      <c r="P69" s="12" t="s">
        <v>3304</v>
      </c>
      <c r="Q69" s="48" t="s">
        <v>3223</v>
      </c>
      <c r="R69" s="48" t="s">
        <v>57</v>
      </c>
      <c r="S69" s="48" t="s">
        <v>3224</v>
      </c>
      <c r="T69" s="48" t="s">
        <v>3225</v>
      </c>
      <c r="AD69" s="12"/>
      <c r="AE69" s="12"/>
      <c r="AW69" s="44"/>
    </row>
    <row r="70" spans="1:49" ht="14.55" customHeight="1" x14ac:dyDescent="0.25">
      <c r="A70" s="79" t="s">
        <v>3057</v>
      </c>
      <c r="B70" s="79">
        <v>18</v>
      </c>
      <c r="C70" s="79">
        <v>1</v>
      </c>
      <c r="D70" s="79">
        <v>6</v>
      </c>
      <c r="E70" s="47" t="s">
        <v>3071</v>
      </c>
      <c r="F70" s="37" t="s">
        <v>2984</v>
      </c>
      <c r="G70" s="37" t="s">
        <v>101</v>
      </c>
      <c r="H70" s="37" t="s">
        <v>79</v>
      </c>
      <c r="I70" s="37" t="s">
        <v>2985</v>
      </c>
      <c r="J70" s="38" t="s">
        <v>2971</v>
      </c>
      <c r="K70" s="37"/>
      <c r="L70" s="293" t="s">
        <v>3027</v>
      </c>
      <c r="M70" s="12" t="s">
        <v>56</v>
      </c>
      <c r="N70" s="12" t="s">
        <v>3305</v>
      </c>
      <c r="O70" s="82" t="e">
        <f>IF(OR(AN22&lt;1,COUNTIF(AM2:AM15,"地狱遗赠")),"地狱遗赠","")</f>
        <v>#REF!</v>
      </c>
      <c r="P70" s="83" t="e">
        <f>IF(OR(AN22&lt;1,COUNTIF(AM2:AM15,"魔鬼之舌")),"魔鬼之舌","")</f>
        <v>#REF!</v>
      </c>
      <c r="Q70" s="83" t="e">
        <f>IF(OR(AN22&lt;1,COUNTIF(AM2:AM15,"地狱之火")),"地狱之火","")</f>
        <v>#REF!</v>
      </c>
      <c r="R70" s="83" t="e">
        <f>IF(OR(AN22&lt;1,COUNTIF(AM2:AM15,"飞翼")),"飞翼","")</f>
        <v>#REF!</v>
      </c>
      <c r="S70" s="73" t="s">
        <v>3306</v>
      </c>
      <c r="T70" s="74" t="s">
        <v>3307</v>
      </c>
      <c r="U70" s="75" t="s">
        <v>3308</v>
      </c>
      <c r="V70" s="76" t="s">
        <v>3309</v>
      </c>
      <c r="W70" s="77" t="s">
        <v>3310</v>
      </c>
      <c r="X70" s="78" t="s">
        <v>3311</v>
      </c>
      <c r="Y70" s="48" t="s">
        <v>3312</v>
      </c>
      <c r="Z70" s="73" t="s">
        <v>3313</v>
      </c>
      <c r="AW70" s="44"/>
    </row>
    <row r="71" spans="1:49" ht="14.55" customHeight="1" x14ac:dyDescent="0.25">
      <c r="A71" s="79" t="s">
        <v>3060</v>
      </c>
      <c r="B71" s="79">
        <v>19</v>
      </c>
      <c r="C71" s="79">
        <v>1</v>
      </c>
      <c r="D71" s="79">
        <v>4</v>
      </c>
      <c r="E71" s="47" t="s">
        <v>3072</v>
      </c>
      <c r="F71" s="37" t="s">
        <v>2984</v>
      </c>
      <c r="G71" s="37" t="str">
        <f>G70</f>
        <v>中型</v>
      </c>
      <c r="H71" s="37" t="s">
        <v>79</v>
      </c>
      <c r="I71" s="37" t="s">
        <v>2985</v>
      </c>
      <c r="J71" s="38" t="s">
        <v>2971</v>
      </c>
      <c r="K71" s="37"/>
      <c r="L71" s="293"/>
      <c r="M71" s="12" t="s">
        <v>57</v>
      </c>
      <c r="N71" s="12" t="s">
        <v>3314</v>
      </c>
      <c r="O71" s="82" t="s">
        <v>3315</v>
      </c>
      <c r="P71" s="83" t="s">
        <v>3316</v>
      </c>
      <c r="Q71" s="83" t="s">
        <v>3317</v>
      </c>
      <c r="R71" s="83" t="s">
        <v>3318</v>
      </c>
      <c r="S71" s="73" t="s">
        <v>3319</v>
      </c>
      <c r="T71" s="74" t="s">
        <v>3320</v>
      </c>
      <c r="U71" s="75" t="s">
        <v>3321</v>
      </c>
      <c r="V71" s="76" t="s">
        <v>3322</v>
      </c>
      <c r="W71" s="77" t="s">
        <v>3323</v>
      </c>
      <c r="X71" s="78" t="s">
        <v>3324</v>
      </c>
      <c r="Y71" s="48" t="s">
        <v>3325</v>
      </c>
      <c r="Z71" s="73" t="s">
        <v>3326</v>
      </c>
      <c r="AD71" s="12"/>
      <c r="AE71" s="12"/>
      <c r="AW71" s="44"/>
    </row>
    <row r="72" spans="1:49" ht="14.55" customHeight="1" x14ac:dyDescent="0.25">
      <c r="A72" s="79" t="s">
        <v>3063</v>
      </c>
      <c r="B72" s="79">
        <v>20</v>
      </c>
      <c r="C72" s="79">
        <v>1</v>
      </c>
      <c r="D72" s="79">
        <v>5</v>
      </c>
      <c r="E72" s="64" t="s">
        <v>3074</v>
      </c>
      <c r="F72" s="37" t="s">
        <v>2984</v>
      </c>
      <c r="G72" s="37" t="s">
        <v>101</v>
      </c>
      <c r="H72" s="37" t="s">
        <v>3327</v>
      </c>
      <c r="I72" s="37" t="s">
        <v>2985</v>
      </c>
      <c r="J72" s="88" t="s">
        <v>3328</v>
      </c>
      <c r="K72" s="37"/>
      <c r="L72" s="294" t="s">
        <v>3037</v>
      </c>
      <c r="M72" s="12" t="s">
        <v>56</v>
      </c>
      <c r="N72" s="12" t="s">
        <v>3329</v>
      </c>
      <c r="O72" s="12" t="s">
        <v>3330</v>
      </c>
      <c r="P72" s="12" t="s">
        <v>3331</v>
      </c>
      <c r="Q72" s="11" t="s">
        <v>3332</v>
      </c>
      <c r="R72" s="82" t="e">
        <f>IF(OR(AN23&lt;1,COUNTIF(AM2:AM15,"死灵环绕")),"死灵环绕","")</f>
        <v>#REF!</v>
      </c>
      <c r="S72" s="82" t="e">
        <f>IF(OR(AN23&lt;1,COUNTIF(AM2:AM15,"光辉焚化")),"光辉焚化","")</f>
        <v>#REF!</v>
      </c>
      <c r="T72" s="82" t="e">
        <f>IF(OR(AN23&lt;1,COUNTIF(AM2:AM15,"光辉灵魂")),"光辉灵魂","")</f>
        <v>#REF!</v>
      </c>
      <c r="AW72" s="44"/>
    </row>
    <row r="73" spans="1:49" ht="14.55" customHeight="1" x14ac:dyDescent="0.25">
      <c r="A73" s="79" t="s">
        <v>3066</v>
      </c>
      <c r="B73" s="79">
        <v>21</v>
      </c>
      <c r="C73" s="79">
        <v>1</v>
      </c>
      <c r="D73" s="79">
        <v>4</v>
      </c>
      <c r="E73" s="64" t="s">
        <v>3076</v>
      </c>
      <c r="F73" s="37" t="s">
        <v>2984</v>
      </c>
      <c r="G73" s="37" t="s">
        <v>101</v>
      </c>
      <c r="H73" s="37" t="s">
        <v>79</v>
      </c>
      <c r="I73" s="37" t="s">
        <v>2985</v>
      </c>
      <c r="J73" s="38" t="s">
        <v>2971</v>
      </c>
      <c r="K73" s="37"/>
      <c r="L73" s="294"/>
      <c r="M73" s="12" t="s">
        <v>57</v>
      </c>
      <c r="N73" s="12" t="s">
        <v>3333</v>
      </c>
      <c r="O73" s="12" t="s">
        <v>3334</v>
      </c>
      <c r="P73" s="12" t="s">
        <v>3335</v>
      </c>
      <c r="Q73" s="11" t="s">
        <v>3336</v>
      </c>
      <c r="R73" s="82" t="s">
        <v>3337</v>
      </c>
      <c r="S73" s="82" t="s">
        <v>3338</v>
      </c>
      <c r="T73" s="82" t="s">
        <v>3339</v>
      </c>
      <c r="AD73" s="12"/>
      <c r="AE73" s="12"/>
      <c r="AW73" s="44"/>
    </row>
    <row r="74" spans="1:49" ht="14.55" customHeight="1" x14ac:dyDescent="0.25">
      <c r="A74" s="79" t="s">
        <v>3068</v>
      </c>
      <c r="B74" s="79">
        <v>22</v>
      </c>
      <c r="C74" s="79">
        <v>1</v>
      </c>
      <c r="D74" s="79">
        <v>4</v>
      </c>
      <c r="E74" s="64" t="s">
        <v>3079</v>
      </c>
      <c r="F74" s="37" t="s">
        <v>2968</v>
      </c>
      <c r="G74" s="37" t="s">
        <v>101</v>
      </c>
      <c r="H74" s="37" t="s">
        <v>79</v>
      </c>
      <c r="I74" s="37" t="s">
        <v>3340</v>
      </c>
      <c r="J74" s="38" t="s">
        <v>2971</v>
      </c>
      <c r="K74" s="37"/>
      <c r="L74" s="294" t="s">
        <v>3038</v>
      </c>
      <c r="M74" s="12" t="s">
        <v>3341</v>
      </c>
      <c r="N74" s="12" t="s">
        <v>3342</v>
      </c>
      <c r="O74" s="12" t="s">
        <v>3343</v>
      </c>
      <c r="P74" s="12" t="s">
        <v>3344</v>
      </c>
      <c r="AW74" s="44"/>
    </row>
    <row r="75" spans="1:49" ht="14.55" customHeight="1" x14ac:dyDescent="0.25">
      <c r="A75" s="89" t="s">
        <v>3070</v>
      </c>
      <c r="B75" s="89">
        <v>23</v>
      </c>
      <c r="C75" s="89">
        <v>1</v>
      </c>
      <c r="D75" s="89">
        <v>1</v>
      </c>
      <c r="E75" s="64" t="s">
        <v>3081</v>
      </c>
      <c r="F75" s="37" t="s">
        <v>3345</v>
      </c>
      <c r="G75" s="37" t="s">
        <v>101</v>
      </c>
      <c r="H75" s="37" t="s">
        <v>79</v>
      </c>
      <c r="I75" s="37" t="s">
        <v>3346</v>
      </c>
      <c r="J75" s="38" t="s">
        <v>2971</v>
      </c>
      <c r="K75" s="37"/>
      <c r="L75" s="294"/>
      <c r="M75" s="12" t="s">
        <v>3347</v>
      </c>
      <c r="N75" s="12" t="s">
        <v>3348</v>
      </c>
      <c r="O75" s="12" t="s">
        <v>3349</v>
      </c>
      <c r="P75" s="12" t="s">
        <v>3350</v>
      </c>
      <c r="AD75" s="12"/>
      <c r="AE75" s="12"/>
      <c r="AW75" s="44"/>
    </row>
    <row r="76" spans="1:49" ht="14.55" customHeight="1" x14ac:dyDescent="0.25">
      <c r="A76" s="39" t="s">
        <v>3071</v>
      </c>
      <c r="B76" s="39"/>
      <c r="C76" s="39">
        <v>2</v>
      </c>
      <c r="D76" s="39">
        <v>3</v>
      </c>
      <c r="E76" s="64" t="s">
        <v>3083</v>
      </c>
      <c r="F76" s="37" t="s">
        <v>3351</v>
      </c>
      <c r="G76" s="37" t="s">
        <v>101</v>
      </c>
      <c r="H76" s="37" t="s">
        <v>79</v>
      </c>
      <c r="I76" s="37" t="s">
        <v>3352</v>
      </c>
      <c r="J76" s="38" t="s">
        <v>2971</v>
      </c>
      <c r="K76" s="37"/>
      <c r="L76" s="294" t="s">
        <v>3039</v>
      </c>
      <c r="M76" s="12" t="s">
        <v>3353</v>
      </c>
      <c r="N76" s="12" t="s">
        <v>3354</v>
      </c>
      <c r="O76" s="12" t="s">
        <v>3355</v>
      </c>
      <c r="AW76" s="44"/>
    </row>
    <row r="77" spans="1:49" ht="14.55" customHeight="1" x14ac:dyDescent="0.25">
      <c r="A77" s="39" t="s">
        <v>3072</v>
      </c>
      <c r="B77" s="39"/>
      <c r="C77" s="39">
        <v>4</v>
      </c>
      <c r="D77" s="39">
        <v>5</v>
      </c>
      <c r="E77" s="49" t="s">
        <v>3084</v>
      </c>
      <c r="F77" s="37" t="s">
        <v>2984</v>
      </c>
      <c r="G77" s="37" t="s">
        <v>101</v>
      </c>
      <c r="H77" s="37" t="s">
        <v>79</v>
      </c>
      <c r="I77" s="37" t="s">
        <v>2985</v>
      </c>
      <c r="J77" s="88" t="s">
        <v>3328</v>
      </c>
      <c r="K77" s="37"/>
      <c r="L77" s="294"/>
      <c r="M77" s="12" t="s">
        <v>3356</v>
      </c>
      <c r="N77" s="12" t="s">
        <v>3357</v>
      </c>
      <c r="O77" s="12" t="s">
        <v>3358</v>
      </c>
      <c r="AD77" s="12"/>
      <c r="AE77" s="12"/>
      <c r="AW77" s="44"/>
    </row>
    <row r="78" spans="1:49" ht="14.55" customHeight="1" x14ac:dyDescent="0.25">
      <c r="A78" s="90" t="s">
        <v>3074</v>
      </c>
      <c r="B78" s="90">
        <v>24</v>
      </c>
      <c r="C78" s="90">
        <v>1</v>
      </c>
      <c r="D78" s="90">
        <v>4</v>
      </c>
      <c r="E78" s="49" t="s">
        <v>3085</v>
      </c>
      <c r="F78" s="37" t="s">
        <v>3359</v>
      </c>
      <c r="G78" s="37" t="s">
        <v>101</v>
      </c>
      <c r="H78" s="37" t="s">
        <v>79</v>
      </c>
      <c r="I78" s="37" t="s">
        <v>3360</v>
      </c>
      <c r="J78" s="38" t="s">
        <v>2971</v>
      </c>
      <c r="K78" s="37"/>
      <c r="L78" s="294" t="s">
        <v>3043</v>
      </c>
      <c r="M78" s="12" t="s">
        <v>3361</v>
      </c>
      <c r="N78" s="12" t="s">
        <v>3362</v>
      </c>
      <c r="O78" s="12" t="s">
        <v>3363</v>
      </c>
      <c r="AW78" s="44"/>
    </row>
    <row r="79" spans="1:49" ht="14.55" customHeight="1" x14ac:dyDescent="0.25">
      <c r="A79" s="90" t="s">
        <v>3076</v>
      </c>
      <c r="B79" s="90">
        <v>25</v>
      </c>
      <c r="C79" s="90">
        <v>1</v>
      </c>
      <c r="D79" s="90">
        <v>4</v>
      </c>
      <c r="E79" s="49" t="s">
        <v>3075</v>
      </c>
      <c r="F79" s="37" t="s">
        <v>2984</v>
      </c>
      <c r="G79" s="37" t="s">
        <v>101</v>
      </c>
      <c r="H79" s="37" t="s">
        <v>79</v>
      </c>
      <c r="I79" s="37" t="s">
        <v>2985</v>
      </c>
      <c r="J79" s="38" t="s">
        <v>2971</v>
      </c>
      <c r="K79" s="37"/>
      <c r="L79" s="294"/>
      <c r="M79" s="12" t="s">
        <v>3364</v>
      </c>
      <c r="N79" s="12" t="s">
        <v>3365</v>
      </c>
      <c r="O79" s="12" t="s">
        <v>3366</v>
      </c>
      <c r="AD79" s="12"/>
      <c r="AE79" s="12"/>
      <c r="AW79" s="44"/>
    </row>
    <row r="80" spans="1:49" ht="14.55" customHeight="1" x14ac:dyDescent="0.25">
      <c r="A80" s="90" t="s">
        <v>3079</v>
      </c>
      <c r="B80" s="90">
        <v>26</v>
      </c>
      <c r="C80" s="90">
        <v>1</v>
      </c>
      <c r="D80" s="90">
        <v>5</v>
      </c>
      <c r="E80" s="49" t="s">
        <v>3088</v>
      </c>
      <c r="F80" s="37" t="s">
        <v>3345</v>
      </c>
      <c r="G80" s="37" t="str">
        <f>G79</f>
        <v>中型</v>
      </c>
      <c r="H80" s="37" t="s">
        <v>79</v>
      </c>
      <c r="I80" s="37" t="s">
        <v>2985</v>
      </c>
      <c r="J80" s="38" t="s">
        <v>2971</v>
      </c>
      <c r="K80" s="37"/>
      <c r="L80" s="294" t="s">
        <v>3046</v>
      </c>
      <c r="M80" s="12" t="s">
        <v>3367</v>
      </c>
      <c r="N80" s="12" t="s">
        <v>3368</v>
      </c>
      <c r="O80" s="12" t="s">
        <v>3369</v>
      </c>
      <c r="P80" s="12" t="s">
        <v>3370</v>
      </c>
      <c r="Q80" s="12" t="s">
        <v>3371</v>
      </c>
      <c r="V80" s="12"/>
      <c r="AW80" s="44"/>
    </row>
    <row r="81" spans="1:49" ht="14.55" customHeight="1" x14ac:dyDescent="0.25">
      <c r="A81" s="90" t="s">
        <v>3081</v>
      </c>
      <c r="B81" s="90">
        <v>27</v>
      </c>
      <c r="C81" s="90">
        <v>1</v>
      </c>
      <c r="D81" s="90" t="e">
        <f>IF(AG2&lt;5,5,8)</f>
        <v>#REF!</v>
      </c>
      <c r="E81" s="55" t="s">
        <v>3090</v>
      </c>
      <c r="F81" s="37" t="s">
        <v>2984</v>
      </c>
      <c r="G81" s="37" t="s">
        <v>101</v>
      </c>
      <c r="H81" s="37" t="s">
        <v>79</v>
      </c>
      <c r="I81" s="37" t="s">
        <v>2985</v>
      </c>
      <c r="J81" s="38" t="s">
        <v>2971</v>
      </c>
      <c r="K81" s="37"/>
      <c r="L81" s="294"/>
      <c r="M81" s="12" t="s">
        <v>3372</v>
      </c>
      <c r="N81" s="12" t="s">
        <v>3373</v>
      </c>
      <c r="O81" s="12" t="s">
        <v>3374</v>
      </c>
      <c r="P81" s="12" t="s">
        <v>3375</v>
      </c>
      <c r="Q81" s="12" t="s">
        <v>3376</v>
      </c>
      <c r="V81" s="12"/>
      <c r="AD81" s="12"/>
      <c r="AE81" s="12"/>
      <c r="AW81" s="44"/>
    </row>
    <row r="82" spans="1:49" ht="14.55" customHeight="1" x14ac:dyDescent="0.25">
      <c r="A82" s="90" t="s">
        <v>3083</v>
      </c>
      <c r="B82" s="90">
        <v>28</v>
      </c>
      <c r="C82" s="90">
        <v>1</v>
      </c>
      <c r="D82" s="90">
        <v>3</v>
      </c>
      <c r="E82" s="55" t="s">
        <v>3092</v>
      </c>
      <c r="F82" s="37" t="s">
        <v>2984</v>
      </c>
      <c r="G82" s="37" t="s">
        <v>3160</v>
      </c>
      <c r="H82" s="37" t="s">
        <v>3377</v>
      </c>
      <c r="I82" s="37" t="s">
        <v>2985</v>
      </c>
      <c r="J82" s="38" t="s">
        <v>2971</v>
      </c>
      <c r="K82" s="37"/>
      <c r="L82" s="294" t="s">
        <v>3048</v>
      </c>
      <c r="M82" s="12" t="s">
        <v>56</v>
      </c>
      <c r="N82" s="12" t="s">
        <v>3378</v>
      </c>
      <c r="O82" s="12" t="s">
        <v>3379</v>
      </c>
      <c r="P82" s="12" t="s">
        <v>3380</v>
      </c>
      <c r="AW82" s="44"/>
    </row>
    <row r="83" spans="1:49" ht="14.55" customHeight="1" x14ac:dyDescent="0.25">
      <c r="A83" s="91" t="s">
        <v>3084</v>
      </c>
      <c r="B83" s="91">
        <v>29</v>
      </c>
      <c r="C83" s="91">
        <v>1</v>
      </c>
      <c r="D83" s="91">
        <v>2</v>
      </c>
      <c r="E83" s="55" t="s">
        <v>3093</v>
      </c>
      <c r="F83" s="37" t="str">
        <f>F82</f>
        <v>自选两项属性分别+2/+1或自选三项属性+1</v>
      </c>
      <c r="G83" s="37" t="str">
        <f>G82</f>
        <v>中型或小型。在你选择种族时选择体型</v>
      </c>
      <c r="H83" s="37" t="s">
        <v>79</v>
      </c>
      <c r="I83" s="37" t="s">
        <v>2985</v>
      </c>
      <c r="J83" s="38" t="s">
        <v>2971</v>
      </c>
      <c r="K83" s="37"/>
      <c r="L83" s="294"/>
      <c r="M83" s="12" t="s">
        <v>57</v>
      </c>
      <c r="N83" s="12" t="s">
        <v>3381</v>
      </c>
      <c r="O83" s="12" t="s">
        <v>3382</v>
      </c>
      <c r="P83" s="12" t="s">
        <v>3383</v>
      </c>
      <c r="AD83" s="12"/>
      <c r="AE83" s="12"/>
      <c r="AW83" s="44"/>
    </row>
    <row r="84" spans="1:49" ht="14.55" customHeight="1" x14ac:dyDescent="0.25">
      <c r="A84" s="91" t="s">
        <v>3085</v>
      </c>
      <c r="B84" s="91">
        <v>30</v>
      </c>
      <c r="C84" s="91">
        <v>1</v>
      </c>
      <c r="D84" s="91">
        <v>4</v>
      </c>
      <c r="E84" s="55" t="s">
        <v>3094</v>
      </c>
      <c r="F84" s="37" t="str">
        <f>F82</f>
        <v>自选两项属性分别+2/+1或自选三项属性+1</v>
      </c>
      <c r="G84" s="37" t="str">
        <f>G82</f>
        <v>中型或小型。在你选择种族时选择体型</v>
      </c>
      <c r="H84" s="37" t="s">
        <v>79</v>
      </c>
      <c r="I84" s="37" t="s">
        <v>2985</v>
      </c>
      <c r="J84" s="38" t="s">
        <v>2971</v>
      </c>
      <c r="K84" s="37"/>
      <c r="L84" s="294" t="s">
        <v>3051</v>
      </c>
      <c r="M84" s="12" t="s">
        <v>56</v>
      </c>
      <c r="N84" s="12" t="s">
        <v>3384</v>
      </c>
      <c r="O84" s="12" t="s">
        <v>3385</v>
      </c>
      <c r="P84" s="12" t="s">
        <v>3386</v>
      </c>
      <c r="Q84" s="12" t="s">
        <v>3387</v>
      </c>
      <c r="AW84" s="44"/>
    </row>
    <row r="85" spans="1:49" ht="14.55" customHeight="1" x14ac:dyDescent="0.25">
      <c r="A85" s="91" t="s">
        <v>3075</v>
      </c>
      <c r="B85" s="91">
        <v>31</v>
      </c>
      <c r="C85" s="91">
        <v>1</v>
      </c>
      <c r="D85" s="91">
        <v>7</v>
      </c>
      <c r="E85" s="55" t="s">
        <v>3095</v>
      </c>
      <c r="F85" s="37" t="str">
        <f>F82</f>
        <v>自选两项属性分别+2/+1或自选三项属性+1</v>
      </c>
      <c r="G85" s="37" t="str">
        <f>G82</f>
        <v>中型或小型。在你选择种族时选择体型</v>
      </c>
      <c r="H85" s="37" t="s">
        <v>79</v>
      </c>
      <c r="I85" s="37" t="s">
        <v>2985</v>
      </c>
      <c r="J85" s="38" t="s">
        <v>2971</v>
      </c>
      <c r="K85" s="37"/>
      <c r="L85" s="294"/>
      <c r="M85" s="12" t="s">
        <v>57</v>
      </c>
      <c r="N85" s="12" t="s">
        <v>3388</v>
      </c>
      <c r="O85" s="12" t="s">
        <v>3389</v>
      </c>
      <c r="P85" s="12" t="s">
        <v>3390</v>
      </c>
      <c r="Q85" s="12" t="s">
        <v>3391</v>
      </c>
      <c r="AD85" s="12"/>
      <c r="AE85" s="12"/>
      <c r="AF85" s="12"/>
      <c r="AG85" s="12"/>
      <c r="AW85" s="44"/>
    </row>
    <row r="86" spans="1:49" ht="14.55" customHeight="1" x14ac:dyDescent="0.25">
      <c r="A86" s="91" t="s">
        <v>3088</v>
      </c>
      <c r="B86" s="91">
        <v>32</v>
      </c>
      <c r="C86" s="91">
        <v>1</v>
      </c>
      <c r="D86" s="91">
        <v>4</v>
      </c>
      <c r="E86" s="55" t="s">
        <v>3096</v>
      </c>
      <c r="F86" s="37" t="s">
        <v>2984</v>
      </c>
      <c r="G86" s="37" t="s">
        <v>101</v>
      </c>
      <c r="H86" s="37" t="s">
        <v>79</v>
      </c>
      <c r="I86" s="37" t="s">
        <v>2985</v>
      </c>
      <c r="J86" s="38" t="s">
        <v>2971</v>
      </c>
      <c r="K86" s="37"/>
      <c r="L86" s="294" t="s">
        <v>3055</v>
      </c>
      <c r="M86" s="12" t="s">
        <v>56</v>
      </c>
      <c r="N86" s="11" t="s">
        <v>69</v>
      </c>
      <c r="O86" s="12" t="s">
        <v>3392</v>
      </c>
      <c r="P86" s="12" t="s">
        <v>3393</v>
      </c>
      <c r="AW86" s="44"/>
    </row>
    <row r="87" spans="1:49" ht="14.55" customHeight="1" x14ac:dyDescent="0.25">
      <c r="A87" s="92" t="s">
        <v>3090</v>
      </c>
      <c r="B87" s="92">
        <v>33</v>
      </c>
      <c r="C87" s="92">
        <v>1</v>
      </c>
      <c r="D87" s="92" t="e">
        <f>IF(AG2&lt;3,2,3)</f>
        <v>#REF!</v>
      </c>
      <c r="E87" s="66" t="s">
        <v>3099</v>
      </c>
      <c r="F87" s="37" t="s">
        <v>3394</v>
      </c>
      <c r="G87" s="37" t="s">
        <v>3395</v>
      </c>
      <c r="H87" s="37" t="s">
        <v>79</v>
      </c>
      <c r="I87" s="37" t="s">
        <v>3065</v>
      </c>
      <c r="J87" s="38" t="s">
        <v>2971</v>
      </c>
      <c r="K87" s="37"/>
      <c r="L87" s="294"/>
      <c r="M87" s="12" t="s">
        <v>57</v>
      </c>
      <c r="N87" s="12" t="s">
        <v>3396</v>
      </c>
      <c r="O87" s="12" t="s">
        <v>3397</v>
      </c>
      <c r="P87" s="12" t="s">
        <v>3398</v>
      </c>
      <c r="AD87" s="12"/>
      <c r="AE87" s="12"/>
      <c r="AF87" s="12"/>
      <c r="AG87" s="12"/>
      <c r="AW87" s="44"/>
    </row>
    <row r="88" spans="1:49" ht="14.55" customHeight="1" x14ac:dyDescent="0.25">
      <c r="A88" s="92" t="s">
        <v>3091</v>
      </c>
      <c r="B88" s="92">
        <v>34</v>
      </c>
      <c r="C88" s="92">
        <v>1</v>
      </c>
      <c r="D88" s="92">
        <v>1</v>
      </c>
      <c r="E88" s="67" t="s">
        <v>3100</v>
      </c>
      <c r="F88" s="37" t="s">
        <v>3399</v>
      </c>
      <c r="G88" s="37" t="s">
        <v>101</v>
      </c>
      <c r="H88" s="37" t="s">
        <v>3377</v>
      </c>
      <c r="I88" s="37" t="s">
        <v>3400</v>
      </c>
      <c r="J88" s="38" t="s">
        <v>2971</v>
      </c>
      <c r="K88" s="37"/>
      <c r="L88" s="294" t="s">
        <v>3057</v>
      </c>
      <c r="M88" s="12" t="s">
        <v>56</v>
      </c>
      <c r="N88" s="11" t="s">
        <v>69</v>
      </c>
      <c r="O88" s="12" t="s">
        <v>3401</v>
      </c>
      <c r="P88" s="12" t="s">
        <v>3343</v>
      </c>
      <c r="Q88" s="12" t="s">
        <v>3402</v>
      </c>
      <c r="R88" s="12" t="s">
        <v>3403</v>
      </c>
      <c r="AW88" s="44"/>
    </row>
    <row r="89" spans="1:49" ht="14.55" customHeight="1" x14ac:dyDescent="0.25">
      <c r="A89" s="45" t="s">
        <v>3092</v>
      </c>
      <c r="B89" s="45"/>
      <c r="C89" s="45">
        <v>2</v>
      </c>
      <c r="D89" s="45">
        <v>4</v>
      </c>
      <c r="E89" s="67" t="s">
        <v>3101</v>
      </c>
      <c r="F89" s="37" t="s">
        <v>2984</v>
      </c>
      <c r="G89" s="37" t="s">
        <v>101</v>
      </c>
      <c r="H89" s="37" t="s">
        <v>3377</v>
      </c>
      <c r="I89" s="37" t="s">
        <v>2985</v>
      </c>
      <c r="J89" s="88" t="s">
        <v>3328</v>
      </c>
      <c r="K89" s="37"/>
      <c r="L89" s="294"/>
      <c r="M89" s="12" t="s">
        <v>57</v>
      </c>
      <c r="N89" s="12" t="s">
        <v>3396</v>
      </c>
      <c r="O89" s="12" t="s">
        <v>3404</v>
      </c>
      <c r="P89" s="12" t="s">
        <v>3349</v>
      </c>
      <c r="Q89" s="12" t="s">
        <v>3405</v>
      </c>
      <c r="R89" s="12" t="s">
        <v>3406</v>
      </c>
      <c r="AW89" s="44"/>
    </row>
    <row r="90" spans="1:49" ht="14.55" customHeight="1" x14ac:dyDescent="0.25">
      <c r="A90" s="45" t="s">
        <v>3093</v>
      </c>
      <c r="B90" s="45"/>
      <c r="C90" s="45">
        <v>5</v>
      </c>
      <c r="D90" s="45">
        <v>6</v>
      </c>
      <c r="E90" s="93" t="s">
        <v>3102</v>
      </c>
      <c r="F90" s="37" t="s">
        <v>2984</v>
      </c>
      <c r="G90" s="37" t="s">
        <v>3160</v>
      </c>
      <c r="H90" s="37" t="s">
        <v>79</v>
      </c>
      <c r="I90" s="37" t="s">
        <v>2985</v>
      </c>
      <c r="J90" s="38" t="s">
        <v>2971</v>
      </c>
      <c r="K90" s="37"/>
      <c r="L90" s="294" t="s">
        <v>3060</v>
      </c>
      <c r="M90" s="12" t="s">
        <v>56</v>
      </c>
      <c r="N90" s="11" t="s">
        <v>69</v>
      </c>
      <c r="O90" s="12" t="s">
        <v>3407</v>
      </c>
      <c r="P90" s="12" t="s">
        <v>3408</v>
      </c>
      <c r="AW90" s="44"/>
    </row>
    <row r="91" spans="1:49" ht="14.55" customHeight="1" x14ac:dyDescent="0.25">
      <c r="A91" s="45" t="s">
        <v>3094</v>
      </c>
      <c r="B91" s="45"/>
      <c r="C91" s="45">
        <v>7</v>
      </c>
      <c r="D91" s="45">
        <v>8</v>
      </c>
      <c r="E91" s="94" t="s">
        <v>3103</v>
      </c>
      <c r="F91" s="37" t="s">
        <v>2984</v>
      </c>
      <c r="G91" s="12" t="s">
        <v>217</v>
      </c>
      <c r="H91" s="37" t="s">
        <v>79</v>
      </c>
      <c r="I91" s="37" t="s">
        <v>2985</v>
      </c>
      <c r="J91" s="88" t="s">
        <v>3328</v>
      </c>
      <c r="K91" s="37"/>
      <c r="L91" s="294"/>
      <c r="M91" s="12" t="s">
        <v>57</v>
      </c>
      <c r="N91" s="12" t="s">
        <v>3396</v>
      </c>
      <c r="O91" s="12" t="s">
        <v>3409</v>
      </c>
      <c r="P91" s="12" t="s">
        <v>3410</v>
      </c>
      <c r="AW91" s="44"/>
    </row>
    <row r="92" spans="1:49" ht="14.55" customHeight="1" x14ac:dyDescent="0.25">
      <c r="A92" s="45" t="s">
        <v>3095</v>
      </c>
      <c r="B92" s="45"/>
      <c r="C92" s="45">
        <v>9</v>
      </c>
      <c r="D92" s="45">
        <v>12</v>
      </c>
      <c r="E92" s="94" t="s">
        <v>3104</v>
      </c>
      <c r="F92" s="37" t="s">
        <v>2984</v>
      </c>
      <c r="G92" s="37" t="s">
        <v>3160</v>
      </c>
      <c r="H92" s="37" t="s">
        <v>79</v>
      </c>
      <c r="I92" s="37" t="s">
        <v>2985</v>
      </c>
      <c r="J92" s="38" t="s">
        <v>2971</v>
      </c>
      <c r="K92" s="37"/>
      <c r="L92" s="294" t="s">
        <v>3063</v>
      </c>
      <c r="M92" s="12" t="s">
        <v>56</v>
      </c>
      <c r="N92" s="12" t="s">
        <v>3411</v>
      </c>
      <c r="O92" s="82" t="e">
        <f>IF(OR(AN24&lt;1,COUNTIF(AM2:AM15,"狡猾")),"狡猾","")</f>
        <v>#REF!</v>
      </c>
      <c r="P92" s="82" t="e">
        <f>IF(OR(AN24&lt;1,COUNTIF(AM2:AM15,"反抗")),"反抗","")</f>
        <v>#REF!</v>
      </c>
      <c r="Q92" s="82" t="e">
        <f>IF(OR(AN24&lt;1,COUNTIF(AM2:AM15,"龙族术法")),"龙族术法","")</f>
        <v>#REF!</v>
      </c>
      <c r="AW92" s="44"/>
    </row>
    <row r="93" spans="1:49" ht="14.55" customHeight="1" x14ac:dyDescent="0.25">
      <c r="A93" s="92" t="s">
        <v>3096</v>
      </c>
      <c r="B93" s="92">
        <v>35</v>
      </c>
      <c r="C93" s="92">
        <v>1</v>
      </c>
      <c r="D93" s="92">
        <v>5</v>
      </c>
      <c r="E93" s="95" t="s">
        <v>55</v>
      </c>
      <c r="F93" s="37" t="s">
        <v>2984</v>
      </c>
      <c r="G93" s="12" t="s">
        <v>101</v>
      </c>
      <c r="H93" s="37" t="s">
        <v>79</v>
      </c>
      <c r="I93" s="37" t="s">
        <v>2985</v>
      </c>
      <c r="J93" s="38" t="s">
        <v>2971</v>
      </c>
      <c r="L93" s="294"/>
      <c r="M93" s="12" t="s">
        <v>57</v>
      </c>
      <c r="N93" s="12" t="s">
        <v>3412</v>
      </c>
      <c r="O93" s="82" t="s">
        <v>3413</v>
      </c>
      <c r="P93" s="82" t="s">
        <v>3414</v>
      </c>
      <c r="Q93" s="82" t="s">
        <v>3415</v>
      </c>
      <c r="AD93" s="12"/>
      <c r="AE93" s="12"/>
      <c r="AF93" s="12"/>
      <c r="AG93" s="12"/>
      <c r="AW93" s="44"/>
    </row>
    <row r="94" spans="1:49" ht="14.55" customHeight="1" x14ac:dyDescent="0.25">
      <c r="A94" s="96" t="s">
        <v>3099</v>
      </c>
      <c r="B94" s="96">
        <v>36</v>
      </c>
      <c r="C94" s="96">
        <v>1</v>
      </c>
      <c r="D94" s="96">
        <v>4</v>
      </c>
      <c r="E94" s="95" t="s">
        <v>3105</v>
      </c>
      <c r="F94" s="37" t="s">
        <v>2984</v>
      </c>
      <c r="G94" s="12" t="s">
        <v>217</v>
      </c>
      <c r="H94" s="37" t="s">
        <v>79</v>
      </c>
      <c r="I94" s="37" t="s">
        <v>2985</v>
      </c>
      <c r="J94" s="88" t="s">
        <v>3416</v>
      </c>
      <c r="L94" s="294" t="s">
        <v>3066</v>
      </c>
      <c r="M94" s="12" t="s">
        <v>56</v>
      </c>
      <c r="N94" s="12" t="s">
        <v>3417</v>
      </c>
      <c r="O94" s="12" t="s">
        <v>3343</v>
      </c>
      <c r="P94" s="12" t="s">
        <v>3300</v>
      </c>
      <c r="AW94" s="44"/>
    </row>
    <row r="95" spans="1:49" ht="14.55" customHeight="1" x14ac:dyDescent="0.25">
      <c r="A95" s="97" t="s">
        <v>3100</v>
      </c>
      <c r="B95" s="97">
        <v>37</v>
      </c>
      <c r="C95" s="97">
        <v>1</v>
      </c>
      <c r="D95" s="97">
        <v>4</v>
      </c>
      <c r="E95" s="95" t="s">
        <v>3107</v>
      </c>
      <c r="F95" s="37" t="s">
        <v>2984</v>
      </c>
      <c r="G95" s="12" t="s">
        <v>101</v>
      </c>
      <c r="H95" s="53" t="s">
        <v>3026</v>
      </c>
      <c r="I95" s="37" t="s">
        <v>2985</v>
      </c>
      <c r="J95" s="38" t="s">
        <v>2971</v>
      </c>
      <c r="L95" s="294"/>
      <c r="M95" s="12" t="s">
        <v>57</v>
      </c>
      <c r="N95" s="12" t="s">
        <v>3418</v>
      </c>
      <c r="O95" s="12" t="s">
        <v>3349</v>
      </c>
      <c r="P95" s="12" t="s">
        <v>3419</v>
      </c>
      <c r="AD95" s="12"/>
      <c r="AE95" s="12"/>
      <c r="AF95" s="12"/>
      <c r="AG95" s="12"/>
      <c r="AW95" s="44"/>
    </row>
    <row r="96" spans="1:49" ht="14.55" customHeight="1" x14ac:dyDescent="0.25">
      <c r="A96" s="97" t="s">
        <v>3101</v>
      </c>
      <c r="B96" s="97">
        <v>38</v>
      </c>
      <c r="C96" s="97">
        <v>1</v>
      </c>
      <c r="D96" s="97">
        <v>4</v>
      </c>
      <c r="E96" s="95" t="s">
        <v>3109</v>
      </c>
      <c r="F96" s="37" t="s">
        <v>2984</v>
      </c>
      <c r="G96" s="37" t="s">
        <v>3160</v>
      </c>
      <c r="H96" s="80" t="s">
        <v>3243</v>
      </c>
      <c r="I96" s="37" t="s">
        <v>2985</v>
      </c>
      <c r="J96" s="38" t="s">
        <v>2971</v>
      </c>
      <c r="L96" s="294" t="s">
        <v>3068</v>
      </c>
      <c r="M96" s="12" t="s">
        <v>56</v>
      </c>
      <c r="N96" s="12" t="s">
        <v>3420</v>
      </c>
      <c r="O96" s="12" t="s">
        <v>3421</v>
      </c>
      <c r="P96" s="12" t="s">
        <v>3422</v>
      </c>
      <c r="AW96" s="44"/>
    </row>
    <row r="97" spans="1:49" ht="14.55" customHeight="1" x14ac:dyDescent="0.25">
      <c r="A97" s="98" t="s">
        <v>3102</v>
      </c>
      <c r="B97" s="98">
        <v>39</v>
      </c>
      <c r="C97" s="98">
        <v>1</v>
      </c>
      <c r="D97" s="98">
        <v>3</v>
      </c>
      <c r="E97" s="95" t="s">
        <v>3110</v>
      </c>
      <c r="F97" s="37" t="s">
        <v>2984</v>
      </c>
      <c r="G97" s="37" t="s">
        <v>3160</v>
      </c>
      <c r="H97" s="37" t="s">
        <v>79</v>
      </c>
      <c r="I97" s="37" t="s">
        <v>2985</v>
      </c>
      <c r="J97" s="88" t="s">
        <v>3423</v>
      </c>
      <c r="L97" s="294"/>
      <c r="M97" s="12" t="s">
        <v>57</v>
      </c>
      <c r="N97" s="12" t="s">
        <v>3424</v>
      </c>
      <c r="O97" s="12" t="s">
        <v>3425</v>
      </c>
      <c r="P97" s="11" t="s">
        <v>3426</v>
      </c>
      <c r="Q97" s="12"/>
      <c r="AA97" s="12"/>
      <c r="AB97" s="12"/>
      <c r="AD97" s="12"/>
      <c r="AE97" s="12"/>
      <c r="AF97" s="12"/>
      <c r="AG97" s="12"/>
      <c r="AW97" s="44"/>
    </row>
    <row r="98" spans="1:49" ht="14.55" customHeight="1" x14ac:dyDescent="0.25">
      <c r="A98" s="99" t="s">
        <v>3103</v>
      </c>
      <c r="B98" s="100">
        <v>40</v>
      </c>
      <c r="C98" s="99">
        <v>1</v>
      </c>
      <c r="D98" s="99">
        <v>2</v>
      </c>
      <c r="E98" s="95" t="s">
        <v>3113</v>
      </c>
      <c r="F98" s="37" t="s">
        <v>2984</v>
      </c>
      <c r="G98" s="37" t="s">
        <v>3160</v>
      </c>
      <c r="H98" s="37" t="s">
        <v>79</v>
      </c>
      <c r="I98" s="37" t="s">
        <v>2985</v>
      </c>
      <c r="J98" s="88" t="s">
        <v>3427</v>
      </c>
      <c r="L98" s="295" t="s">
        <v>3070</v>
      </c>
      <c r="M98" s="11" t="s">
        <v>3428</v>
      </c>
      <c r="N98" s="48" t="s">
        <v>3429</v>
      </c>
      <c r="O98" s="48" t="s">
        <v>3430</v>
      </c>
      <c r="P98" s="73" t="s">
        <v>3431</v>
      </c>
      <c r="Q98" s="73" t="s">
        <v>3432</v>
      </c>
      <c r="AW98" s="44"/>
    </row>
    <row r="99" spans="1:49" ht="14.55" customHeight="1" x14ac:dyDescent="0.25">
      <c r="A99" s="99" t="s">
        <v>3104</v>
      </c>
      <c r="B99" s="100">
        <v>41</v>
      </c>
      <c r="C99" s="99">
        <v>1</v>
      </c>
      <c r="D99" s="99">
        <v>4</v>
      </c>
      <c r="E99" s="101" t="s">
        <v>3040</v>
      </c>
      <c r="F99" s="37" t="s">
        <v>2984</v>
      </c>
      <c r="G99" s="37" t="s">
        <v>3433</v>
      </c>
      <c r="H99" s="37" t="s">
        <v>3377</v>
      </c>
      <c r="I99" s="37" t="s">
        <v>2985</v>
      </c>
      <c r="J99" s="38" t="s">
        <v>2971</v>
      </c>
      <c r="K99" s="37"/>
      <c r="L99" s="295"/>
      <c r="M99" s="12" t="s">
        <v>3434</v>
      </c>
      <c r="N99" s="48" t="s">
        <v>3435</v>
      </c>
      <c r="O99" s="48" t="s">
        <v>3436</v>
      </c>
      <c r="P99" s="73" t="s">
        <v>3437</v>
      </c>
      <c r="Q99" s="73" t="s">
        <v>3438</v>
      </c>
      <c r="Z99" s="12"/>
      <c r="AA99" s="12"/>
      <c r="AB99" s="12"/>
      <c r="AD99" s="12"/>
      <c r="AE99" s="12"/>
      <c r="AF99" s="12"/>
      <c r="AG99" s="12"/>
      <c r="AW99" s="44"/>
    </row>
    <row r="100" spans="1:49" ht="14.55" customHeight="1" x14ac:dyDescent="0.25">
      <c r="A100" s="102" t="s">
        <v>3105</v>
      </c>
      <c r="B100" s="103">
        <v>42</v>
      </c>
      <c r="C100" s="103">
        <v>1</v>
      </c>
      <c r="D100" s="103">
        <v>6</v>
      </c>
      <c r="E100" s="101" t="s">
        <v>3044</v>
      </c>
      <c r="F100" s="37" t="s">
        <v>2984</v>
      </c>
      <c r="G100" s="37" t="s">
        <v>3433</v>
      </c>
      <c r="H100" s="37" t="s">
        <v>79</v>
      </c>
      <c r="I100" s="37" t="s">
        <v>2985</v>
      </c>
      <c r="J100" s="88" t="s">
        <v>3328</v>
      </c>
      <c r="K100" s="37"/>
      <c r="L100" s="296" t="s">
        <v>3074</v>
      </c>
      <c r="M100" s="12" t="s">
        <v>3439</v>
      </c>
      <c r="N100" s="12" t="s">
        <v>3440</v>
      </c>
      <c r="O100" s="12" t="s">
        <v>3441</v>
      </c>
      <c r="P100" s="12" t="s">
        <v>3442</v>
      </c>
      <c r="AW100" s="44"/>
    </row>
    <row r="101" spans="1:49" ht="14.55" customHeight="1" x14ac:dyDescent="0.25">
      <c r="A101" s="102" t="s">
        <v>3107</v>
      </c>
      <c r="B101" s="103">
        <v>43</v>
      </c>
      <c r="C101" s="103">
        <v>1</v>
      </c>
      <c r="D101" s="103">
        <v>3</v>
      </c>
      <c r="E101" s="101" t="s">
        <v>3047</v>
      </c>
      <c r="F101" s="37" t="s">
        <v>2984</v>
      </c>
      <c r="G101" s="37" t="s">
        <v>3433</v>
      </c>
      <c r="H101" s="37" t="s">
        <v>79</v>
      </c>
      <c r="I101" s="37" t="s">
        <v>2985</v>
      </c>
      <c r="J101" s="38" t="s">
        <v>2971</v>
      </c>
      <c r="K101" s="37"/>
      <c r="L101" s="296"/>
      <c r="M101" s="12" t="s">
        <v>3443</v>
      </c>
      <c r="N101" s="12" t="s">
        <v>3444</v>
      </c>
      <c r="O101" s="12" t="s">
        <v>3445</v>
      </c>
      <c r="P101" s="12" t="s">
        <v>3446</v>
      </c>
      <c r="Z101" s="12"/>
      <c r="AA101" s="12"/>
      <c r="AB101" s="12"/>
      <c r="AD101" s="12"/>
      <c r="AE101" s="12"/>
      <c r="AF101" s="12"/>
      <c r="AG101" s="12"/>
      <c r="AW101" s="44"/>
    </row>
    <row r="102" spans="1:49" ht="14.55" customHeight="1" x14ac:dyDescent="0.25">
      <c r="A102" s="102" t="s">
        <v>3109</v>
      </c>
      <c r="B102" s="103">
        <v>44</v>
      </c>
      <c r="C102" s="103">
        <v>1</v>
      </c>
      <c r="D102" s="103">
        <v>3</v>
      </c>
      <c r="E102" s="36"/>
      <c r="F102" s="37"/>
      <c r="G102" s="37"/>
      <c r="H102" s="37"/>
      <c r="I102" s="37"/>
      <c r="J102" s="38"/>
      <c r="K102" s="37"/>
      <c r="L102" s="296" t="s">
        <v>3076</v>
      </c>
      <c r="M102" s="12" t="s">
        <v>3447</v>
      </c>
      <c r="N102" s="12" t="s">
        <v>3448</v>
      </c>
      <c r="O102" s="12" t="s">
        <v>3449</v>
      </c>
      <c r="P102" s="12" t="s">
        <v>3450</v>
      </c>
      <c r="AW102" s="44"/>
    </row>
    <row r="103" spans="1:49" ht="14.55" customHeight="1" x14ac:dyDescent="0.25">
      <c r="A103" s="102" t="s">
        <v>3110</v>
      </c>
      <c r="B103" s="103">
        <v>45</v>
      </c>
      <c r="C103" s="103">
        <v>1</v>
      </c>
      <c r="D103" s="103">
        <v>5</v>
      </c>
      <c r="E103" s="36"/>
      <c r="F103" s="37"/>
      <c r="G103" s="37"/>
      <c r="H103" s="37"/>
      <c r="I103" s="37"/>
      <c r="J103" s="38"/>
      <c r="K103" s="37"/>
      <c r="L103" s="296"/>
      <c r="M103" s="12" t="s">
        <v>3451</v>
      </c>
      <c r="N103" s="12" t="s">
        <v>3452</v>
      </c>
      <c r="O103" s="12" t="s">
        <v>3453</v>
      </c>
      <c r="P103" s="11" t="s">
        <v>3454</v>
      </c>
      <c r="Z103" s="12"/>
      <c r="AA103" s="12"/>
      <c r="AB103" s="12"/>
      <c r="AD103" s="12"/>
      <c r="AE103" s="12"/>
      <c r="AF103" s="12"/>
      <c r="AG103" s="12"/>
      <c r="AW103" s="44"/>
    </row>
    <row r="104" spans="1:49" ht="14.55" customHeight="1" x14ac:dyDescent="0.25">
      <c r="A104" s="102" t="s">
        <v>3113</v>
      </c>
      <c r="B104" s="103">
        <v>46</v>
      </c>
      <c r="C104" s="103">
        <v>1</v>
      </c>
      <c r="D104" s="103">
        <v>5</v>
      </c>
      <c r="E104" s="36"/>
      <c r="F104" s="37"/>
      <c r="G104" s="37"/>
      <c r="H104" s="37"/>
      <c r="I104" s="37"/>
      <c r="J104" s="38"/>
      <c r="K104" s="37"/>
      <c r="L104" s="296" t="s">
        <v>3079</v>
      </c>
      <c r="M104" s="12" t="s">
        <v>3455</v>
      </c>
      <c r="N104" s="12" t="s">
        <v>3456</v>
      </c>
      <c r="O104" s="12" t="s">
        <v>3370</v>
      </c>
      <c r="P104" s="12" t="s">
        <v>3457</v>
      </c>
      <c r="Q104" s="12" t="s">
        <v>3458</v>
      </c>
      <c r="AW104" s="44"/>
    </row>
    <row r="105" spans="1:49" ht="14.55" customHeight="1" x14ac:dyDescent="0.25">
      <c r="A105" s="104" t="s">
        <v>3040</v>
      </c>
      <c r="B105" s="104">
        <v>47</v>
      </c>
      <c r="C105" s="104">
        <v>1</v>
      </c>
      <c r="D105" s="104">
        <v>5</v>
      </c>
      <c r="E105" s="36"/>
      <c r="F105" s="37"/>
      <c r="G105" s="37"/>
      <c r="H105" s="37"/>
      <c r="I105" s="37"/>
      <c r="J105" s="38"/>
      <c r="K105" s="37"/>
      <c r="L105" s="296"/>
      <c r="M105" s="12" t="s">
        <v>3459</v>
      </c>
      <c r="N105" s="12" t="s">
        <v>3460</v>
      </c>
      <c r="O105" s="12" t="s">
        <v>3461</v>
      </c>
      <c r="P105" s="12" t="s">
        <v>3462</v>
      </c>
      <c r="Q105" s="12" t="s">
        <v>3463</v>
      </c>
      <c r="Z105" s="12"/>
      <c r="AA105" s="12"/>
      <c r="AB105" s="12"/>
      <c r="AE105" s="12"/>
      <c r="AF105" s="12"/>
      <c r="AG105" s="12"/>
      <c r="AW105" s="44"/>
    </row>
    <row r="106" spans="1:49" ht="14.55" customHeight="1" x14ac:dyDescent="0.25">
      <c r="A106" s="104" t="s">
        <v>3044</v>
      </c>
      <c r="B106" s="104">
        <v>48</v>
      </c>
      <c r="C106" s="104">
        <v>1</v>
      </c>
      <c r="D106" s="104">
        <v>6</v>
      </c>
      <c r="E106" s="36"/>
      <c r="F106" s="37"/>
      <c r="G106" s="37"/>
      <c r="H106" s="37"/>
      <c r="I106" s="37"/>
      <c r="J106" s="38"/>
      <c r="K106" s="37"/>
      <c r="L106" s="296" t="s">
        <v>3081</v>
      </c>
      <c r="M106" s="12" t="s">
        <v>56</v>
      </c>
      <c r="N106" s="12" t="s">
        <v>3050</v>
      </c>
      <c r="O106" s="105" t="e">
        <f>IF(OR(AO19+AO21&lt;IF(AG2&gt;=5,2,1),COUNTIF(AM2:AM15,"蝠鲼滑翔")),"蝠鲼滑翔","")</f>
        <v>#REF!</v>
      </c>
      <c r="P106" s="105" t="e">
        <f>IF(OR(AO19+AO21&lt;IF(AG2&gt;=5,2,1),COUNTIF(AM2:AM15,"灵活攀登")),"灵活攀登","")</f>
        <v>#REF!</v>
      </c>
      <c r="Q106" s="105" t="e">
        <f>IF(OR(AO19+AO21&lt;IF(AG2&gt;=5,2,1),COUNTIF(AM2:AM15,"水下适应")),"水下适应","")</f>
        <v>#REF!</v>
      </c>
      <c r="R106" s="106" t="e">
        <f>IF(OR(AND(AO21&lt;1,AO19+AO21&lt;2),COUNTIF(AM2:AM15,"斗殴附件")),"斗殴附件","")</f>
        <v>#REF!</v>
      </c>
      <c r="S106" s="106" t="e">
        <f>IF(OR(AND(AO21&lt;1,AO19+AO21&lt;2),COUNTIF(AM2:AM15,"甲壳")),"甲壳","")</f>
        <v>#REF!</v>
      </c>
      <c r="T106" s="106" t="e">
        <f>IF(OR(AND(AO21&lt;1,AO19+AO21&lt;2),COUNTIF(AM2:AM15,"酸液喷吐")),"酸液喷吐","")</f>
        <v>#REF!</v>
      </c>
      <c r="AW106" s="44"/>
    </row>
    <row r="107" spans="1:49" ht="14.55" customHeight="1" x14ac:dyDescent="0.25">
      <c r="A107" s="104" t="s">
        <v>3047</v>
      </c>
      <c r="B107" s="104">
        <v>49</v>
      </c>
      <c r="C107" s="104">
        <v>1</v>
      </c>
      <c r="D107" s="104">
        <v>3</v>
      </c>
      <c r="E107" s="36"/>
      <c r="F107" s="37"/>
      <c r="G107" s="37"/>
      <c r="H107" s="37"/>
      <c r="I107" s="37"/>
      <c r="J107" s="38"/>
      <c r="K107" s="37"/>
      <c r="L107" s="296"/>
      <c r="M107" s="12" t="s">
        <v>57</v>
      </c>
      <c r="N107" s="12" t="s">
        <v>3464</v>
      </c>
      <c r="O107" s="105" t="s">
        <v>3465</v>
      </c>
      <c r="P107" s="105" t="s">
        <v>3466</v>
      </c>
      <c r="Q107" s="105" t="s">
        <v>3467</v>
      </c>
      <c r="R107" s="106" t="s">
        <v>3468</v>
      </c>
      <c r="S107" s="106" t="s">
        <v>3469</v>
      </c>
      <c r="T107" s="106" t="s">
        <v>3470</v>
      </c>
      <c r="Z107" s="12"/>
      <c r="AA107" s="12"/>
      <c r="AB107" s="12"/>
      <c r="AE107" s="12"/>
      <c r="AF107" s="12"/>
      <c r="AG107" s="12"/>
      <c r="AW107" s="44"/>
    </row>
    <row r="108" spans="1:49" ht="14.55" customHeight="1" x14ac:dyDescent="0.25">
      <c r="A108" s="35"/>
      <c r="B108" s="35"/>
      <c r="C108" s="35"/>
      <c r="D108" s="35"/>
      <c r="E108" s="71"/>
      <c r="F108" s="107"/>
      <c r="G108" s="107"/>
      <c r="H108" s="107"/>
      <c r="I108" s="107"/>
      <c r="J108" s="108"/>
      <c r="K108" s="37"/>
      <c r="L108" s="296" t="s">
        <v>3083</v>
      </c>
      <c r="M108" s="12" t="s">
        <v>3471</v>
      </c>
      <c r="N108" s="12" t="s">
        <v>3472</v>
      </c>
      <c r="O108" s="12" t="s">
        <v>3473</v>
      </c>
      <c r="AW108" s="44"/>
    </row>
    <row r="109" spans="1:49" ht="14.55" customHeight="1" x14ac:dyDescent="0.25">
      <c r="A109" s="35"/>
      <c r="B109" s="35"/>
      <c r="C109" s="35"/>
      <c r="D109" s="109"/>
      <c r="L109" s="296"/>
      <c r="M109" s="12" t="s">
        <v>3474</v>
      </c>
      <c r="N109" s="12" t="s">
        <v>3475</v>
      </c>
      <c r="O109" s="12" t="s">
        <v>3476</v>
      </c>
      <c r="Z109" s="12"/>
      <c r="AA109" s="12"/>
      <c r="AB109" s="12"/>
      <c r="AE109" s="12"/>
      <c r="AF109" s="12"/>
      <c r="AG109" s="12"/>
      <c r="AW109" s="44"/>
    </row>
    <row r="110" spans="1:49" ht="14.55" customHeight="1" x14ac:dyDescent="0.25">
      <c r="A110" s="35"/>
      <c r="B110" s="35"/>
      <c r="C110" s="35"/>
      <c r="D110" s="109"/>
      <c r="L110" s="297" t="s">
        <v>3084</v>
      </c>
      <c r="M110" s="12" t="s">
        <v>3477</v>
      </c>
      <c r="N110" s="12" t="s">
        <v>1994</v>
      </c>
      <c r="AW110" s="44"/>
    </row>
    <row r="111" spans="1:49" ht="14.55" customHeight="1" x14ac:dyDescent="0.25">
      <c r="A111" s="12"/>
      <c r="B111" s="12"/>
      <c r="C111" s="12"/>
      <c r="D111" s="44"/>
      <c r="L111" s="297"/>
      <c r="M111" s="12" t="s">
        <v>3478</v>
      </c>
      <c r="N111" s="12" t="s">
        <v>3479</v>
      </c>
      <c r="AF111" s="12"/>
      <c r="AG111" s="12"/>
      <c r="AW111" s="44"/>
    </row>
    <row r="112" spans="1:49" ht="14.55" customHeight="1" x14ac:dyDescent="0.25">
      <c r="A112" s="12"/>
      <c r="B112" s="12"/>
      <c r="C112" s="12"/>
      <c r="D112" s="44"/>
      <c r="L112" s="297" t="s">
        <v>3085</v>
      </c>
      <c r="M112" s="12" t="s">
        <v>3480</v>
      </c>
      <c r="N112" s="12" t="s">
        <v>3481</v>
      </c>
      <c r="O112" s="12" t="s">
        <v>3482</v>
      </c>
      <c r="P112" s="12" t="s">
        <v>3483</v>
      </c>
      <c r="AL112" s="12"/>
      <c r="AW112" s="44"/>
    </row>
    <row r="113" spans="1:49" ht="14.55" customHeight="1" x14ac:dyDescent="0.25">
      <c r="A113" s="35"/>
      <c r="B113" s="35"/>
      <c r="C113" s="35"/>
      <c r="D113" s="109"/>
      <c r="L113" s="297"/>
      <c r="M113" s="12" t="s">
        <v>3484</v>
      </c>
      <c r="N113" s="12" t="s">
        <v>3485</v>
      </c>
      <c r="O113" s="12" t="s">
        <v>3486</v>
      </c>
      <c r="P113" s="12" t="s">
        <v>3487</v>
      </c>
      <c r="Z113" s="12"/>
      <c r="AA113" s="12"/>
      <c r="AB113" s="12"/>
      <c r="AE113" s="12"/>
      <c r="AF113" s="12"/>
      <c r="AG113" s="12"/>
      <c r="AN113" s="12"/>
      <c r="AO113" s="12"/>
      <c r="AP113" s="12"/>
      <c r="AW113" s="44"/>
    </row>
    <row r="114" spans="1:49" ht="14.55" customHeight="1" x14ac:dyDescent="0.25">
      <c r="A114" s="12"/>
      <c r="B114" s="12"/>
      <c r="C114" s="12"/>
      <c r="D114" s="44"/>
      <c r="L114" s="297" t="s">
        <v>3075</v>
      </c>
      <c r="M114" s="12" t="s">
        <v>56</v>
      </c>
      <c r="N114" s="11" t="s">
        <v>3488</v>
      </c>
      <c r="O114" s="12" t="s">
        <v>3489</v>
      </c>
      <c r="P114" s="82" t="e">
        <f>IF(OR(AN25&lt;1,COUNTIF(AM2:AM15,"兽皮")),"兽皮","")</f>
        <v>#REF!</v>
      </c>
      <c r="Q114" s="82" t="e">
        <f>IF(OR(AN25&lt;1,COUNTIF(AM2:AM15,"长牙")),"长牙","")</f>
        <v>#REF!</v>
      </c>
      <c r="R114" s="82" t="e">
        <f>IF(OR(AN25&lt;1,COUNTIF(AM2:AM15,"迅捷")),"迅捷","")</f>
        <v>#REF!</v>
      </c>
      <c r="S114" s="82" t="e">
        <f>IF(OR(AN25&lt;1,COUNTIF(AM2:AM15,"猎食")),"猎食","")</f>
        <v>#REF!</v>
      </c>
      <c r="AW114" s="44"/>
    </row>
    <row r="115" spans="1:49" ht="14.55" customHeight="1" x14ac:dyDescent="0.25">
      <c r="A115" s="12"/>
      <c r="B115" s="12"/>
      <c r="C115" s="12"/>
      <c r="D115" s="44"/>
      <c r="L115" s="297"/>
      <c r="M115" s="12" t="s">
        <v>57</v>
      </c>
      <c r="N115" s="12" t="s">
        <v>3490</v>
      </c>
      <c r="O115" s="12" t="s">
        <v>3491</v>
      </c>
      <c r="P115" s="82" t="s">
        <v>3492</v>
      </c>
      <c r="Q115" s="82" t="s">
        <v>3493</v>
      </c>
      <c r="R115" s="82" t="s">
        <v>3494</v>
      </c>
      <c r="S115" s="82" t="s">
        <v>3495</v>
      </c>
      <c r="Z115" s="12"/>
      <c r="AA115" s="12"/>
      <c r="AB115" s="12"/>
      <c r="AE115" s="12"/>
      <c r="AF115" s="12"/>
      <c r="AG115" s="12"/>
      <c r="AN115" s="12"/>
      <c r="AO115" s="12"/>
      <c r="AP115" s="12"/>
      <c r="AW115" s="44"/>
    </row>
    <row r="116" spans="1:49" ht="14.55" customHeight="1" x14ac:dyDescent="0.25">
      <c r="A116" s="110"/>
      <c r="B116" s="110"/>
      <c r="C116" s="110"/>
      <c r="D116" s="111"/>
      <c r="L116" s="297" t="s">
        <v>3088</v>
      </c>
      <c r="M116" s="12" t="s">
        <v>3496</v>
      </c>
      <c r="N116" s="12" t="s">
        <v>3497</v>
      </c>
      <c r="O116" s="12" t="s">
        <v>3498</v>
      </c>
      <c r="P116" s="12" t="s">
        <v>3499</v>
      </c>
      <c r="AW116" s="44"/>
    </row>
    <row r="117" spans="1:49" ht="14.55" customHeight="1" x14ac:dyDescent="0.25">
      <c r="L117" s="297"/>
      <c r="M117" s="12" t="s">
        <v>3500</v>
      </c>
      <c r="N117" s="12" t="s">
        <v>3501</v>
      </c>
      <c r="O117" s="12" t="s">
        <v>3502</v>
      </c>
      <c r="P117" s="12" t="s">
        <v>3503</v>
      </c>
      <c r="AA117" s="12"/>
      <c r="AB117" s="12"/>
      <c r="AE117" s="12"/>
      <c r="AF117" s="12"/>
      <c r="AG117" s="12"/>
      <c r="AN117" s="12"/>
      <c r="AO117" s="12"/>
      <c r="AP117" s="12"/>
      <c r="AW117" s="44"/>
    </row>
    <row r="118" spans="1:49" ht="14.55" customHeight="1" x14ac:dyDescent="0.25">
      <c r="L118" s="298" t="s">
        <v>3090</v>
      </c>
      <c r="M118" s="12" t="s">
        <v>3504</v>
      </c>
      <c r="N118" s="12" t="s">
        <v>3505</v>
      </c>
      <c r="O118" s="11" t="s">
        <v>3506</v>
      </c>
      <c r="AW118" s="44"/>
    </row>
    <row r="119" spans="1:49" ht="14.55" customHeight="1" x14ac:dyDescent="0.25">
      <c r="L119" s="298"/>
      <c r="M119" s="12" t="s">
        <v>3507</v>
      </c>
      <c r="N119" s="12" t="s">
        <v>3508</v>
      </c>
      <c r="O119" s="11" t="s">
        <v>3509</v>
      </c>
      <c r="Z119" s="12"/>
      <c r="AA119" s="12"/>
      <c r="AB119" s="12"/>
      <c r="AE119" s="12"/>
      <c r="AF119" s="12"/>
      <c r="AG119" s="12"/>
      <c r="AN119" s="12"/>
      <c r="AO119" s="12"/>
      <c r="AP119" s="12"/>
      <c r="AW119" s="44"/>
    </row>
    <row r="120" spans="1:49" ht="14.55" customHeight="1" x14ac:dyDescent="0.25">
      <c r="L120" s="298" t="s">
        <v>3091</v>
      </c>
      <c r="M120" s="12" t="s">
        <v>56</v>
      </c>
      <c r="N120" s="48" t="s">
        <v>3510</v>
      </c>
      <c r="O120" s="48" t="s">
        <v>3511</v>
      </c>
      <c r="P120" s="48" t="s">
        <v>3512</v>
      </c>
      <c r="Q120" s="73" t="s">
        <v>3513</v>
      </c>
      <c r="R120" s="73" t="s">
        <v>3514</v>
      </c>
      <c r="S120" s="74" t="s">
        <v>3515</v>
      </c>
      <c r="T120" s="74" t="s">
        <v>3516</v>
      </c>
      <c r="U120" s="75" t="s">
        <v>3517</v>
      </c>
      <c r="V120" s="75" t="s">
        <v>3518</v>
      </c>
      <c r="W120" s="75" t="s">
        <v>3519</v>
      </c>
      <c r="X120" s="75" t="s">
        <v>3520</v>
      </c>
      <c r="AW120" s="44"/>
    </row>
    <row r="121" spans="1:49" ht="14.55" customHeight="1" x14ac:dyDescent="0.25">
      <c r="L121" s="298"/>
      <c r="M121" s="12" t="s">
        <v>57</v>
      </c>
      <c r="N121" s="48" t="s">
        <v>3521</v>
      </c>
      <c r="O121" s="48" t="s">
        <v>3522</v>
      </c>
      <c r="P121" s="48" t="s">
        <v>3523</v>
      </c>
      <c r="Q121" s="73" t="s">
        <v>3524</v>
      </c>
      <c r="R121" s="73" t="s">
        <v>3525</v>
      </c>
      <c r="S121" s="74" t="s">
        <v>3526</v>
      </c>
      <c r="T121" s="74" t="s">
        <v>3527</v>
      </c>
      <c r="U121" s="75" t="s">
        <v>3528</v>
      </c>
      <c r="V121" s="75" t="s">
        <v>3529</v>
      </c>
      <c r="W121" s="75" t="s">
        <v>3530</v>
      </c>
      <c r="X121" s="75" t="s">
        <v>3531</v>
      </c>
      <c r="Z121" s="12"/>
      <c r="AA121" s="12"/>
      <c r="AB121" s="12"/>
      <c r="AE121" s="12"/>
      <c r="AF121" s="12"/>
      <c r="AG121" s="12"/>
      <c r="AN121" s="12"/>
      <c r="AO121" s="12"/>
      <c r="AP121" s="12"/>
      <c r="AW121" s="44"/>
    </row>
    <row r="122" spans="1:49" ht="14.55" customHeight="1" x14ac:dyDescent="0.25">
      <c r="L122" s="298" t="s">
        <v>3096</v>
      </c>
      <c r="M122" s="12" t="s">
        <v>3532</v>
      </c>
      <c r="N122" s="12" t="s">
        <v>3533</v>
      </c>
      <c r="O122" s="12" t="s">
        <v>3370</v>
      </c>
      <c r="P122" s="12" t="s">
        <v>3371</v>
      </c>
      <c r="Q122" s="12" t="s">
        <v>3534</v>
      </c>
      <c r="AW122" s="44"/>
    </row>
    <row r="123" spans="1:49" ht="14.55" customHeight="1" x14ac:dyDescent="0.25">
      <c r="L123" s="298"/>
      <c r="M123" s="12" t="s">
        <v>3535</v>
      </c>
      <c r="N123" s="12" t="s">
        <v>3536</v>
      </c>
      <c r="O123" s="12" t="s">
        <v>3537</v>
      </c>
      <c r="P123" s="12" t="s">
        <v>3538</v>
      </c>
      <c r="Q123" s="12" t="s">
        <v>3539</v>
      </c>
      <c r="S123" s="12"/>
      <c r="AE123" s="12"/>
      <c r="AF123" s="12"/>
      <c r="AG123" s="12"/>
      <c r="AN123" s="12"/>
      <c r="AO123" s="12"/>
      <c r="AP123" s="12"/>
      <c r="AW123" s="44"/>
    </row>
    <row r="124" spans="1:49" ht="14.55" customHeight="1" x14ac:dyDescent="0.25">
      <c r="L124" s="299" t="s">
        <v>3099</v>
      </c>
      <c r="M124" s="12" t="s">
        <v>3540</v>
      </c>
      <c r="N124" s="12" t="s">
        <v>3541</v>
      </c>
      <c r="O124" s="12" t="s">
        <v>3542</v>
      </c>
      <c r="P124" s="12" t="s">
        <v>3543</v>
      </c>
      <c r="AW124" s="44"/>
    </row>
    <row r="125" spans="1:49" ht="14.55" customHeight="1" x14ac:dyDescent="0.25">
      <c r="L125" s="299"/>
      <c r="M125" s="12" t="s">
        <v>3544</v>
      </c>
      <c r="N125" s="12" t="s">
        <v>3545</v>
      </c>
      <c r="O125" s="12" t="s">
        <v>3546</v>
      </c>
      <c r="P125" s="12" t="s">
        <v>3547</v>
      </c>
      <c r="AE125" s="12"/>
      <c r="AF125" s="12"/>
      <c r="AG125" s="12"/>
      <c r="AN125" s="12"/>
      <c r="AO125" s="12"/>
      <c r="AP125" s="12"/>
      <c r="AW125" s="44"/>
    </row>
    <row r="126" spans="1:49" ht="14.55" customHeight="1" x14ac:dyDescent="0.25">
      <c r="L126" s="300" t="s">
        <v>3100</v>
      </c>
      <c r="M126" s="12" t="s">
        <v>56</v>
      </c>
      <c r="N126" s="12" t="s">
        <v>3548</v>
      </c>
      <c r="O126" s="12" t="s">
        <v>3549</v>
      </c>
      <c r="P126" s="12" t="s">
        <v>3550</v>
      </c>
      <c r="AW126" s="44"/>
    </row>
    <row r="127" spans="1:49" ht="14.55" customHeight="1" x14ac:dyDescent="0.25">
      <c r="L127" s="300"/>
      <c r="M127" s="12" t="s">
        <v>57</v>
      </c>
      <c r="N127" s="12" t="s">
        <v>3551</v>
      </c>
      <c r="O127" s="12" t="s">
        <v>3552</v>
      </c>
      <c r="P127" s="12" t="s">
        <v>3553</v>
      </c>
      <c r="AE127" s="12"/>
      <c r="AF127" s="12"/>
      <c r="AG127" s="12"/>
      <c r="AN127" s="12"/>
      <c r="AO127" s="12"/>
      <c r="AP127" s="12"/>
      <c r="AW127" s="44"/>
    </row>
    <row r="128" spans="1:49" ht="14.55" customHeight="1" x14ac:dyDescent="0.25">
      <c r="L128" s="300" t="s">
        <v>3101</v>
      </c>
      <c r="M128" s="12" t="s">
        <v>3554</v>
      </c>
      <c r="N128" s="12" t="s">
        <v>3420</v>
      </c>
      <c r="O128" s="12" t="s">
        <v>3555</v>
      </c>
      <c r="P128" s="12" t="s">
        <v>3556</v>
      </c>
      <c r="AW128" s="44"/>
    </row>
    <row r="129" spans="12:49" ht="14.55" customHeight="1" x14ac:dyDescent="0.25">
      <c r="L129" s="300"/>
      <c r="M129" s="12" t="s">
        <v>3557</v>
      </c>
      <c r="N129" s="12" t="s">
        <v>3424</v>
      </c>
      <c r="O129" s="12" t="s">
        <v>3558</v>
      </c>
      <c r="P129" s="12" t="s">
        <v>3559</v>
      </c>
      <c r="AN129" s="12"/>
      <c r="AO129" s="12"/>
      <c r="AP129" s="12"/>
      <c r="AW129" s="44"/>
    </row>
    <row r="130" spans="12:49" ht="14.55" customHeight="1" x14ac:dyDescent="0.25">
      <c r="L130" s="301" t="s">
        <v>3102</v>
      </c>
      <c r="M130" s="11" t="s">
        <v>56</v>
      </c>
      <c r="N130" s="11" t="s">
        <v>3504</v>
      </c>
      <c r="O130" s="11" t="s">
        <v>3560</v>
      </c>
      <c r="AW130" s="44"/>
    </row>
    <row r="131" spans="12:49" ht="14.55" customHeight="1" x14ac:dyDescent="0.25">
      <c r="L131" s="301"/>
      <c r="M131" s="11" t="s">
        <v>3561</v>
      </c>
      <c r="N131" s="11" t="s">
        <v>3562</v>
      </c>
      <c r="O131" s="11" t="s">
        <v>3563</v>
      </c>
      <c r="AN131" s="12"/>
      <c r="AO131" s="12"/>
      <c r="AP131" s="12"/>
      <c r="AW131" s="44"/>
    </row>
    <row r="132" spans="12:49" ht="14.55" customHeight="1" x14ac:dyDescent="0.25">
      <c r="L132" s="302" t="s">
        <v>3103</v>
      </c>
      <c r="M132" s="11" t="s">
        <v>3564</v>
      </c>
      <c r="N132" s="11" t="s">
        <v>3504</v>
      </c>
      <c r="AW132" s="44"/>
    </row>
    <row r="133" spans="12:49" ht="14.55" customHeight="1" x14ac:dyDescent="0.25">
      <c r="L133" s="302"/>
      <c r="M133" s="12" t="s">
        <v>3565</v>
      </c>
      <c r="N133" s="12" t="s">
        <v>3566</v>
      </c>
      <c r="AN133" s="12"/>
      <c r="AO133" s="12"/>
      <c r="AP133" s="12"/>
      <c r="AW133" s="44"/>
    </row>
    <row r="134" spans="12:49" ht="14.55" customHeight="1" x14ac:dyDescent="0.25">
      <c r="L134" s="302" t="s">
        <v>3104</v>
      </c>
      <c r="M134" s="11" t="s">
        <v>3567</v>
      </c>
      <c r="N134" s="11" t="s">
        <v>3568</v>
      </c>
      <c r="O134" s="11" t="s">
        <v>3569</v>
      </c>
      <c r="P134" s="11" t="s">
        <v>3570</v>
      </c>
      <c r="AW134" s="44"/>
    </row>
    <row r="135" spans="12:49" ht="14.55" customHeight="1" x14ac:dyDescent="0.25">
      <c r="L135" s="302"/>
      <c r="M135" s="11" t="s">
        <v>3571</v>
      </c>
      <c r="N135" s="11" t="s">
        <v>3572</v>
      </c>
      <c r="O135" s="11" t="s">
        <v>3573</v>
      </c>
      <c r="P135" s="11" t="s">
        <v>3574</v>
      </c>
      <c r="AW135" s="44"/>
    </row>
    <row r="136" spans="12:49" ht="14.55" customHeight="1" x14ac:dyDescent="0.25">
      <c r="L136" s="303" t="s">
        <v>3105</v>
      </c>
      <c r="M136" s="11" t="s">
        <v>3575</v>
      </c>
      <c r="N136" s="11" t="s">
        <v>3576</v>
      </c>
      <c r="O136" s="11" t="s">
        <v>3577</v>
      </c>
      <c r="P136" s="11" t="s">
        <v>3578</v>
      </c>
      <c r="Q136" s="11" t="s">
        <v>3497</v>
      </c>
      <c r="R136" s="11" t="s">
        <v>3499</v>
      </c>
      <c r="AW136" s="44"/>
    </row>
    <row r="137" spans="12:49" ht="14.55" customHeight="1" x14ac:dyDescent="0.25">
      <c r="L137" s="303"/>
      <c r="M137" s="11" t="s">
        <v>3579</v>
      </c>
      <c r="N137" s="11" t="s">
        <v>3580</v>
      </c>
      <c r="O137" s="11" t="s">
        <v>3581</v>
      </c>
      <c r="P137" s="11" t="s">
        <v>3582</v>
      </c>
      <c r="Q137" s="11" t="s">
        <v>3583</v>
      </c>
      <c r="R137" s="11" t="s">
        <v>3584</v>
      </c>
      <c r="AW137" s="44"/>
    </row>
    <row r="138" spans="12:49" ht="14.55" customHeight="1" x14ac:dyDescent="0.25">
      <c r="L138" s="303" t="s">
        <v>3107</v>
      </c>
      <c r="M138" s="11" t="s">
        <v>3585</v>
      </c>
      <c r="N138" s="11" t="s">
        <v>3586</v>
      </c>
      <c r="O138" s="11" t="s">
        <v>3587</v>
      </c>
      <c r="AW138" s="44"/>
    </row>
    <row r="139" spans="12:49" ht="14.55" customHeight="1" x14ac:dyDescent="0.25">
      <c r="L139" s="303"/>
      <c r="M139" s="11" t="s">
        <v>3588</v>
      </c>
      <c r="N139" s="11" t="s">
        <v>3589</v>
      </c>
      <c r="O139" s="11" t="s">
        <v>3590</v>
      </c>
      <c r="AN139" s="12"/>
      <c r="AO139" s="12"/>
      <c r="AP139" s="12"/>
      <c r="AW139" s="44"/>
    </row>
    <row r="140" spans="12:49" ht="14.55" customHeight="1" x14ac:dyDescent="0.25">
      <c r="L140" s="303" t="s">
        <v>3109</v>
      </c>
      <c r="M140" s="11" t="s">
        <v>3591</v>
      </c>
      <c r="N140" s="11" t="s">
        <v>3592</v>
      </c>
      <c r="O140" s="11" t="s">
        <v>3593</v>
      </c>
      <c r="AW140" s="44"/>
    </row>
    <row r="141" spans="12:49" ht="14.55" customHeight="1" x14ac:dyDescent="0.25">
      <c r="L141" s="303"/>
      <c r="M141" s="11" t="s">
        <v>3594</v>
      </c>
      <c r="N141" s="11" t="s">
        <v>3595</v>
      </c>
      <c r="O141" s="11" t="s">
        <v>3596</v>
      </c>
      <c r="Z141" s="12"/>
      <c r="AN141" s="12"/>
      <c r="AO141" s="12"/>
      <c r="AP141" s="12"/>
      <c r="AW141" s="44"/>
    </row>
    <row r="142" spans="12:49" ht="14.55" customHeight="1" x14ac:dyDescent="0.25">
      <c r="L142" s="303" t="s">
        <v>3110</v>
      </c>
      <c r="M142" s="11" t="s">
        <v>56</v>
      </c>
      <c r="N142" s="11" t="s">
        <v>3597</v>
      </c>
      <c r="O142" s="11" t="s">
        <v>3368</v>
      </c>
      <c r="P142" s="11" t="s">
        <v>3598</v>
      </c>
      <c r="Q142" s="11" t="s">
        <v>3599</v>
      </c>
      <c r="AW142" s="44"/>
    </row>
    <row r="143" spans="12:49" ht="14.55" customHeight="1" x14ac:dyDescent="0.25">
      <c r="L143" s="303"/>
      <c r="M143" s="11" t="s">
        <v>3600</v>
      </c>
      <c r="N143" s="11" t="s">
        <v>3601</v>
      </c>
      <c r="O143" s="11" t="s">
        <v>3602</v>
      </c>
      <c r="P143" s="11" t="s">
        <v>3603</v>
      </c>
      <c r="Q143" s="11" t="s">
        <v>3604</v>
      </c>
      <c r="AW143" s="44"/>
    </row>
    <row r="144" spans="12:49" ht="14.55" customHeight="1" x14ac:dyDescent="0.25">
      <c r="L144" s="303" t="s">
        <v>3113</v>
      </c>
      <c r="M144" s="11" t="s">
        <v>56</v>
      </c>
      <c r="N144" s="11" t="s">
        <v>3605</v>
      </c>
      <c r="O144" s="11" t="s">
        <v>3606</v>
      </c>
      <c r="P144" s="11" t="s">
        <v>3607</v>
      </c>
      <c r="Q144" s="11" t="s">
        <v>3608</v>
      </c>
      <c r="AW144" s="44"/>
    </row>
    <row r="145" spans="12:49" ht="14.55" customHeight="1" x14ac:dyDescent="0.25">
      <c r="L145" s="303"/>
      <c r="M145" s="11" t="s">
        <v>3600</v>
      </c>
      <c r="N145" s="11" t="s">
        <v>3609</v>
      </c>
      <c r="O145" s="11" t="s">
        <v>3610</v>
      </c>
      <c r="P145" s="11" t="s">
        <v>3611</v>
      </c>
      <c r="Q145" s="11" t="s">
        <v>3612</v>
      </c>
      <c r="AW145" s="44"/>
    </row>
    <row r="146" spans="12:49" ht="14.55" customHeight="1" x14ac:dyDescent="0.25">
      <c r="L146" s="304" t="s">
        <v>3040</v>
      </c>
      <c r="M146" s="11" t="s">
        <v>3613</v>
      </c>
      <c r="N146" s="11" t="s">
        <v>56</v>
      </c>
      <c r="O146" s="11" t="s">
        <v>3614</v>
      </c>
      <c r="P146" s="11" t="s">
        <v>3615</v>
      </c>
      <c r="Q146" s="11" t="s">
        <v>3616</v>
      </c>
      <c r="AW146" s="44"/>
    </row>
    <row r="147" spans="12:49" ht="14.55" customHeight="1" x14ac:dyDescent="0.25">
      <c r="L147" s="304"/>
      <c r="M147" s="11" t="s">
        <v>3617</v>
      </c>
      <c r="N147" s="11" t="s">
        <v>3618</v>
      </c>
      <c r="O147" s="11" t="s">
        <v>3619</v>
      </c>
      <c r="P147" s="11" t="s">
        <v>3620</v>
      </c>
      <c r="Q147" s="11" t="s">
        <v>3621</v>
      </c>
      <c r="AW147" s="44"/>
    </row>
    <row r="148" spans="12:49" ht="14.55" customHeight="1" x14ac:dyDescent="0.25">
      <c r="L148" s="304" t="s">
        <v>3044</v>
      </c>
      <c r="M148" s="11" t="s">
        <v>3613</v>
      </c>
      <c r="N148" s="11" t="s">
        <v>56</v>
      </c>
      <c r="O148" s="11" t="s">
        <v>3622</v>
      </c>
      <c r="P148" s="11" t="s">
        <v>3623</v>
      </c>
      <c r="Q148" s="11" t="s">
        <v>3624</v>
      </c>
      <c r="R148" s="11" t="s">
        <v>3625</v>
      </c>
      <c r="AW148" s="44"/>
    </row>
    <row r="149" spans="12:49" ht="14.55" customHeight="1" x14ac:dyDescent="0.25">
      <c r="L149" s="304"/>
      <c r="M149" s="11" t="s">
        <v>3617</v>
      </c>
      <c r="N149" s="11" t="s">
        <v>3618</v>
      </c>
      <c r="O149" s="11" t="s">
        <v>3626</v>
      </c>
      <c r="P149" s="11" t="s">
        <v>3627</v>
      </c>
      <c r="Q149" s="11" t="s">
        <v>3628</v>
      </c>
      <c r="R149" s="11" t="s">
        <v>3629</v>
      </c>
      <c r="AW149" s="44"/>
    </row>
    <row r="150" spans="12:49" ht="14.55" customHeight="1" x14ac:dyDescent="0.25">
      <c r="L150" s="304" t="s">
        <v>3047</v>
      </c>
      <c r="M150" s="11" t="s">
        <v>3613</v>
      </c>
      <c r="N150" s="11" t="s">
        <v>3614</v>
      </c>
      <c r="O150" s="11" t="s">
        <v>3630</v>
      </c>
      <c r="AW150" s="44"/>
    </row>
    <row r="151" spans="12:49" ht="14.55" customHeight="1" x14ac:dyDescent="0.25">
      <c r="L151" s="304"/>
      <c r="M151" s="11" t="s">
        <v>3617</v>
      </c>
      <c r="N151" s="11" t="s">
        <v>3631</v>
      </c>
      <c r="O151" s="11" t="s">
        <v>3632</v>
      </c>
      <c r="AW151" s="44"/>
    </row>
    <row r="152" spans="12:49" ht="14.55" customHeight="1" x14ac:dyDescent="0.25">
      <c r="L152" s="293"/>
      <c r="M152" s="12"/>
      <c r="N152" s="12"/>
      <c r="O152" s="12"/>
      <c r="AW152" s="44"/>
    </row>
    <row r="153" spans="12:49" ht="14.55" customHeight="1" x14ac:dyDescent="0.25">
      <c r="L153" s="293"/>
      <c r="M153" s="12"/>
      <c r="N153" s="12"/>
      <c r="O153" s="12"/>
      <c r="AW153" s="44"/>
    </row>
    <row r="154" spans="12:49" ht="14.55" customHeight="1" x14ac:dyDescent="0.25">
      <c r="L154" s="293"/>
      <c r="M154" s="12"/>
      <c r="N154" s="12"/>
      <c r="O154" s="12"/>
      <c r="P154" s="12"/>
      <c r="Q154" s="12"/>
      <c r="AW154" s="44"/>
    </row>
    <row r="155" spans="12:49" ht="14.55" customHeight="1" x14ac:dyDescent="0.25">
      <c r="L155" s="293"/>
      <c r="M155" s="12"/>
      <c r="N155" s="12"/>
      <c r="O155" s="12"/>
      <c r="P155" s="12"/>
      <c r="Q155" s="12"/>
      <c r="AW155" s="44"/>
    </row>
    <row r="156" spans="12:49" ht="14.55" customHeight="1" x14ac:dyDescent="0.25">
      <c r="L156" s="293"/>
      <c r="M156" s="12"/>
      <c r="N156" s="12"/>
      <c r="O156" s="12"/>
      <c r="P156" s="12"/>
      <c r="Q156" s="12"/>
      <c r="AW156" s="44"/>
    </row>
    <row r="157" spans="12:49" ht="14.55" customHeight="1" x14ac:dyDescent="0.25">
      <c r="L157" s="293"/>
      <c r="M157" s="12"/>
      <c r="N157" s="12"/>
      <c r="O157" s="12"/>
      <c r="P157" s="12"/>
      <c r="Q157" s="12"/>
      <c r="AW157" s="44"/>
    </row>
    <row r="158" spans="12:49" ht="14.55" customHeight="1" x14ac:dyDescent="0.25">
      <c r="L158" s="293"/>
      <c r="M158" s="12"/>
      <c r="N158" s="12"/>
      <c r="AW158" s="44"/>
    </row>
    <row r="159" spans="12:49" ht="14.55" customHeight="1" x14ac:dyDescent="0.25">
      <c r="L159" s="305"/>
      <c r="M159" s="52"/>
      <c r="N159" s="11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112"/>
      <c r="AR159" s="112"/>
      <c r="AS159" s="112"/>
      <c r="AT159" s="112"/>
      <c r="AU159" s="112"/>
      <c r="AV159" s="112"/>
      <c r="AW159" s="113"/>
    </row>
  </sheetData>
  <mergeCells count="57">
    <mergeCell ref="L156:L157"/>
    <mergeCell ref="L158:L159"/>
    <mergeCell ref="L146:L147"/>
    <mergeCell ref="L148:L149"/>
    <mergeCell ref="L150:L151"/>
    <mergeCell ref="L152:L153"/>
    <mergeCell ref="L154:L155"/>
    <mergeCell ref="L136:L137"/>
    <mergeCell ref="L138:L139"/>
    <mergeCell ref="L140:L141"/>
    <mergeCell ref="L142:L143"/>
    <mergeCell ref="L144:L145"/>
    <mergeCell ref="L126:L127"/>
    <mergeCell ref="L128:L129"/>
    <mergeCell ref="L130:L131"/>
    <mergeCell ref="L132:L133"/>
    <mergeCell ref="L134:L135"/>
    <mergeCell ref="L116:L117"/>
    <mergeCell ref="L118:L119"/>
    <mergeCell ref="L120:L121"/>
    <mergeCell ref="L122:L123"/>
    <mergeCell ref="L124:L125"/>
    <mergeCell ref="L106:L107"/>
    <mergeCell ref="L108:L109"/>
    <mergeCell ref="L110:L111"/>
    <mergeCell ref="L112:L113"/>
    <mergeCell ref="L114:L115"/>
    <mergeCell ref="L96:L97"/>
    <mergeCell ref="L98:L99"/>
    <mergeCell ref="L100:L101"/>
    <mergeCell ref="L102:L103"/>
    <mergeCell ref="L104:L105"/>
    <mergeCell ref="L86:L87"/>
    <mergeCell ref="L88:L89"/>
    <mergeCell ref="L90:L91"/>
    <mergeCell ref="L92:L93"/>
    <mergeCell ref="L94:L95"/>
    <mergeCell ref="L76:L77"/>
    <mergeCell ref="L78:L79"/>
    <mergeCell ref="L80:L81"/>
    <mergeCell ref="L82:L83"/>
    <mergeCell ref="L84:L85"/>
    <mergeCell ref="L66:L67"/>
    <mergeCell ref="L68:L69"/>
    <mergeCell ref="L70:L71"/>
    <mergeCell ref="L72:L73"/>
    <mergeCell ref="L74:L75"/>
    <mergeCell ref="L56:L57"/>
    <mergeCell ref="L58:L59"/>
    <mergeCell ref="L60:L61"/>
    <mergeCell ref="L62:L63"/>
    <mergeCell ref="L64:L65"/>
    <mergeCell ref="AE1:AF1"/>
    <mergeCell ref="AG1:AJ1"/>
    <mergeCell ref="AK1:AL1"/>
    <mergeCell ref="AM1:AO1"/>
    <mergeCell ref="L54:L55"/>
  </mergeCells>
  <phoneticPr fontId="4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I64"/>
  <sheetViews>
    <sheetView zoomScale="70" zoomScaleNormal="70" workbookViewId="0">
      <selection activeCell="N42" sqref="N42"/>
    </sheetView>
  </sheetViews>
  <sheetFormatPr defaultColWidth="9" defaultRowHeight="14.4" x14ac:dyDescent="0.25"/>
  <sheetData>
    <row r="1" spans="3:9" x14ac:dyDescent="0.25">
      <c r="C1" s="6" t="s">
        <v>3633</v>
      </c>
      <c r="D1" s="7" t="s">
        <v>35</v>
      </c>
      <c r="E1" s="6" t="s">
        <v>3634</v>
      </c>
      <c r="H1" s="6" t="s">
        <v>3633</v>
      </c>
      <c r="I1" s="7" t="s">
        <v>35</v>
      </c>
    </row>
    <row r="2" spans="3:9" ht="14.55" customHeight="1" x14ac:dyDescent="0.25">
      <c r="C2" t="s">
        <v>154</v>
      </c>
      <c r="H2" t="str">
        <f>IF(背景!E6="","-",背景!E6)</f>
        <v>远行者</v>
      </c>
      <c r="I2" s="8" t="str">
        <f>VLOOKUP(H2,C2:D64,2,0)</f>
        <v>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v>
      </c>
    </row>
    <row r="3" spans="3:9" x14ac:dyDescent="0.25">
      <c r="C3" t="s">
        <v>3635</v>
      </c>
      <c r="D3" s="9" t="s">
        <v>3636</v>
      </c>
      <c r="E3" s="9" t="s">
        <v>3637</v>
      </c>
    </row>
    <row r="4" spans="3:9" x14ac:dyDescent="0.25">
      <c r="C4" t="s">
        <v>3638</v>
      </c>
      <c r="D4" s="9" t="s">
        <v>3639</v>
      </c>
      <c r="E4" s="10" t="s">
        <v>3640</v>
      </c>
    </row>
    <row r="5" spans="3:9" x14ac:dyDescent="0.25">
      <c r="C5" t="s">
        <v>3641</v>
      </c>
      <c r="D5" s="9" t="s">
        <v>3642</v>
      </c>
      <c r="E5" s="10" t="s">
        <v>3643</v>
      </c>
    </row>
    <row r="6" spans="3:9" x14ac:dyDescent="0.25">
      <c r="C6" t="s">
        <v>3644</v>
      </c>
      <c r="D6" s="9" t="s">
        <v>3642</v>
      </c>
      <c r="E6" s="10" t="s">
        <v>3643</v>
      </c>
    </row>
    <row r="7" spans="3:9" x14ac:dyDescent="0.25">
      <c r="C7" t="s">
        <v>3645</v>
      </c>
      <c r="D7" s="9" t="s">
        <v>3646</v>
      </c>
      <c r="E7" s="10" t="s">
        <v>3647</v>
      </c>
    </row>
    <row r="8" spans="3:9" x14ac:dyDescent="0.25">
      <c r="C8" t="s">
        <v>3648</v>
      </c>
      <c r="D8" s="9" t="s">
        <v>3646</v>
      </c>
      <c r="E8" s="10" t="s">
        <v>3647</v>
      </c>
    </row>
    <row r="9" spans="3:9" x14ac:dyDescent="0.25">
      <c r="C9" t="s">
        <v>3649</v>
      </c>
      <c r="D9" s="9" t="s">
        <v>3650</v>
      </c>
      <c r="E9" s="10" t="s">
        <v>3651</v>
      </c>
    </row>
    <row r="10" spans="3:9" x14ac:dyDescent="0.25">
      <c r="C10" t="s">
        <v>3652</v>
      </c>
      <c r="D10" s="9" t="s">
        <v>3653</v>
      </c>
      <c r="E10" s="10" t="s">
        <v>3654</v>
      </c>
    </row>
    <row r="11" spans="3:9" x14ac:dyDescent="0.25">
      <c r="C11" t="s">
        <v>3655</v>
      </c>
      <c r="D11" s="9" t="s">
        <v>3653</v>
      </c>
      <c r="E11" s="10" t="s">
        <v>3654</v>
      </c>
    </row>
    <row r="12" spans="3:9" x14ac:dyDescent="0.25">
      <c r="C12" t="s">
        <v>3656</v>
      </c>
      <c r="D12" s="9" t="s">
        <v>3657</v>
      </c>
      <c r="E12" s="10" t="s">
        <v>3658</v>
      </c>
    </row>
    <row r="13" spans="3:9" x14ac:dyDescent="0.25">
      <c r="C13" t="s">
        <v>3659</v>
      </c>
      <c r="D13" s="9" t="s">
        <v>3660</v>
      </c>
      <c r="E13" s="10" t="s">
        <v>3661</v>
      </c>
    </row>
    <row r="14" spans="3:9" x14ac:dyDescent="0.25">
      <c r="C14" t="s">
        <v>3662</v>
      </c>
      <c r="D14" s="10" t="s">
        <v>3663</v>
      </c>
      <c r="E14" s="10" t="s">
        <v>3661</v>
      </c>
    </row>
    <row r="15" spans="3:9" x14ac:dyDescent="0.25">
      <c r="C15" t="s">
        <v>3664</v>
      </c>
      <c r="D15" s="9" t="s">
        <v>3665</v>
      </c>
      <c r="E15" s="10" t="s">
        <v>3666</v>
      </c>
    </row>
    <row r="16" spans="3:9" x14ac:dyDescent="0.25">
      <c r="C16" t="s">
        <v>3667</v>
      </c>
      <c r="D16" s="9" t="s">
        <v>3668</v>
      </c>
      <c r="E16" s="10" t="s">
        <v>3669</v>
      </c>
    </row>
    <row r="17" spans="3:5" x14ac:dyDescent="0.25">
      <c r="C17" t="s">
        <v>3670</v>
      </c>
      <c r="D17" s="9" t="s">
        <v>3671</v>
      </c>
      <c r="E17" s="10" t="s">
        <v>3672</v>
      </c>
    </row>
    <row r="18" spans="3:5" x14ac:dyDescent="0.25">
      <c r="C18" t="s">
        <v>3673</v>
      </c>
      <c r="D18" s="9" t="s">
        <v>3671</v>
      </c>
      <c r="E18" s="10" t="s">
        <v>3672</v>
      </c>
    </row>
    <row r="19" spans="3:5" x14ac:dyDescent="0.25">
      <c r="C19" t="s">
        <v>3674</v>
      </c>
      <c r="D19" s="9" t="s">
        <v>3675</v>
      </c>
      <c r="E19" s="10" t="s">
        <v>3676</v>
      </c>
    </row>
    <row r="20" spans="3:5" ht="14.55" customHeight="1" x14ac:dyDescent="0.25">
      <c r="C20" t="s">
        <v>3677</v>
      </c>
      <c r="D20" s="9" t="s">
        <v>3678</v>
      </c>
      <c r="E20" s="9" t="s">
        <v>3679</v>
      </c>
    </row>
    <row r="21" spans="3:5" ht="14.55" customHeight="1" x14ac:dyDescent="0.25">
      <c r="C21" t="s">
        <v>3680</v>
      </c>
      <c r="D21" s="9" t="s">
        <v>3681</v>
      </c>
      <c r="E21" s="8" t="s">
        <v>3682</v>
      </c>
    </row>
    <row r="22" spans="3:5" ht="14.55" customHeight="1" x14ac:dyDescent="0.25">
      <c r="C22" t="s">
        <v>3683</v>
      </c>
      <c r="D22" s="9" t="s">
        <v>3684</v>
      </c>
      <c r="E22" s="8" t="s">
        <v>3685</v>
      </c>
    </row>
    <row r="23" spans="3:5" ht="14.55" customHeight="1" x14ac:dyDescent="0.25">
      <c r="C23" t="s">
        <v>3686</v>
      </c>
      <c r="D23" s="9" t="s">
        <v>3687</v>
      </c>
      <c r="E23" s="8" t="s">
        <v>3688</v>
      </c>
    </row>
    <row r="24" spans="3:5" ht="14.55" customHeight="1" x14ac:dyDescent="0.25">
      <c r="C24" t="s">
        <v>3689</v>
      </c>
      <c r="D24" s="9" t="s">
        <v>3690</v>
      </c>
      <c r="E24" s="8" t="s">
        <v>3691</v>
      </c>
    </row>
    <row r="25" spans="3:5" ht="14.55" customHeight="1" x14ac:dyDescent="0.25">
      <c r="C25" t="s">
        <v>3692</v>
      </c>
      <c r="D25" s="9" t="s">
        <v>3693</v>
      </c>
      <c r="E25" s="8" t="s">
        <v>3694</v>
      </c>
    </row>
    <row r="26" spans="3:5" ht="14.55" customHeight="1" x14ac:dyDescent="0.25">
      <c r="C26" t="s">
        <v>13</v>
      </c>
      <c r="D26" s="9" t="s">
        <v>36</v>
      </c>
      <c r="E26" s="8" t="s">
        <v>3695</v>
      </c>
    </row>
    <row r="27" spans="3:5" ht="14.55" customHeight="1" x14ac:dyDescent="0.25">
      <c r="C27" t="s">
        <v>3696</v>
      </c>
      <c r="D27" s="9" t="s">
        <v>3697</v>
      </c>
      <c r="E27" s="8" t="s">
        <v>3698</v>
      </c>
    </row>
    <row r="28" spans="3:5" ht="14.55" customHeight="1" x14ac:dyDescent="0.25">
      <c r="C28" t="s">
        <v>3699</v>
      </c>
      <c r="D28" s="9" t="s">
        <v>3700</v>
      </c>
      <c r="E28" s="8" t="s">
        <v>3701</v>
      </c>
    </row>
    <row r="29" spans="3:5" ht="14.55" customHeight="1" x14ac:dyDescent="0.25">
      <c r="C29" t="s">
        <v>3702</v>
      </c>
      <c r="D29" s="9" t="s">
        <v>3703</v>
      </c>
      <c r="E29" s="8" t="s">
        <v>3704</v>
      </c>
    </row>
    <row r="30" spans="3:5" x14ac:dyDescent="0.25">
      <c r="C30" t="s">
        <v>3705</v>
      </c>
      <c r="D30" s="9" t="s">
        <v>3706</v>
      </c>
      <c r="E30" s="9" t="s">
        <v>3707</v>
      </c>
    </row>
    <row r="31" spans="3:5" x14ac:dyDescent="0.25">
      <c r="C31" t="s">
        <v>3708</v>
      </c>
      <c r="D31" s="9" t="s">
        <v>3709</v>
      </c>
      <c r="E31" s="10" t="s">
        <v>3710</v>
      </c>
    </row>
    <row r="32" spans="3:5" x14ac:dyDescent="0.25">
      <c r="C32" t="s">
        <v>3711</v>
      </c>
      <c r="D32" s="9" t="s">
        <v>3712</v>
      </c>
      <c r="E32" s="10" t="s">
        <v>3713</v>
      </c>
    </row>
    <row r="33" spans="3:5" x14ac:dyDescent="0.25">
      <c r="C33" t="s">
        <v>3714</v>
      </c>
      <c r="D33" s="10" t="s">
        <v>3715</v>
      </c>
      <c r="E33" s="10" t="s">
        <v>3716</v>
      </c>
    </row>
    <row r="34" spans="3:5" x14ac:dyDescent="0.25">
      <c r="C34" t="s">
        <v>3717</v>
      </c>
      <c r="D34" s="10" t="s">
        <v>3718</v>
      </c>
      <c r="E34" s="10" t="s">
        <v>3719</v>
      </c>
    </row>
    <row r="35" spans="3:5" x14ac:dyDescent="0.25">
      <c r="C35" t="s">
        <v>3720</v>
      </c>
      <c r="D35" s="10" t="s">
        <v>3721</v>
      </c>
      <c r="E35" s="10" t="s">
        <v>3722</v>
      </c>
    </row>
    <row r="36" spans="3:5" x14ac:dyDescent="0.25">
      <c r="C36" t="s">
        <v>3723</v>
      </c>
      <c r="D36" s="10" t="s">
        <v>3724</v>
      </c>
      <c r="E36" s="10" t="s">
        <v>3725</v>
      </c>
    </row>
    <row r="37" spans="3:5" x14ac:dyDescent="0.25">
      <c r="C37" t="s">
        <v>3726</v>
      </c>
      <c r="D37" s="10" t="s">
        <v>3727</v>
      </c>
      <c r="E37" s="10" t="s">
        <v>3728</v>
      </c>
    </row>
    <row r="38" spans="3:5" x14ac:dyDescent="0.25">
      <c r="C38" t="s">
        <v>3729</v>
      </c>
      <c r="D38" s="10" t="s">
        <v>3730</v>
      </c>
      <c r="E38" s="10" t="s">
        <v>3731</v>
      </c>
    </row>
    <row r="39" spans="3:5" x14ac:dyDescent="0.25">
      <c r="C39" t="s">
        <v>3732</v>
      </c>
      <c r="D39" s="10" t="s">
        <v>3733</v>
      </c>
      <c r="E39" s="10" t="s">
        <v>3734</v>
      </c>
    </row>
    <row r="40" spans="3:5" x14ac:dyDescent="0.25">
      <c r="C40" t="s">
        <v>3735</v>
      </c>
      <c r="D40" s="10" t="s">
        <v>3736</v>
      </c>
      <c r="E40" s="10" t="s">
        <v>3737</v>
      </c>
    </row>
    <row r="41" spans="3:5" ht="14.55" customHeight="1" x14ac:dyDescent="0.25">
      <c r="C41" t="s">
        <v>3738</v>
      </c>
      <c r="D41" s="10" t="s">
        <v>3739</v>
      </c>
      <c r="E41" s="10" t="s">
        <v>3740</v>
      </c>
    </row>
    <row r="42" spans="3:5" ht="14.55" customHeight="1" x14ac:dyDescent="0.25">
      <c r="C42" t="s">
        <v>3741</v>
      </c>
      <c r="D42" s="10" t="s">
        <v>3742</v>
      </c>
      <c r="E42" s="8" t="s">
        <v>3743</v>
      </c>
    </row>
    <row r="43" spans="3:5" x14ac:dyDescent="0.25">
      <c r="C43" t="s">
        <v>3744</v>
      </c>
      <c r="D43" s="9" t="s">
        <v>3745</v>
      </c>
      <c r="E43" s="10" t="s">
        <v>3746</v>
      </c>
    </row>
    <row r="44" spans="3:5" x14ac:dyDescent="0.25">
      <c r="C44" t="s">
        <v>3747</v>
      </c>
      <c r="D44" s="9" t="s">
        <v>3748</v>
      </c>
      <c r="E44" s="9" t="s">
        <v>3749</v>
      </c>
    </row>
    <row r="45" spans="3:5" x14ac:dyDescent="0.25">
      <c r="C45" t="s">
        <v>3750</v>
      </c>
      <c r="D45" s="9" t="s">
        <v>3751</v>
      </c>
      <c r="E45" s="9" t="s">
        <v>3752</v>
      </c>
    </row>
    <row r="46" spans="3:5" x14ac:dyDescent="0.25">
      <c r="C46" t="s">
        <v>3753</v>
      </c>
      <c r="D46" s="9" t="s">
        <v>3754</v>
      </c>
      <c r="E46" s="10" t="s">
        <v>3755</v>
      </c>
    </row>
    <row r="47" spans="3:5" x14ac:dyDescent="0.25">
      <c r="C47" t="s">
        <v>3756</v>
      </c>
      <c r="D47" s="9" t="s">
        <v>3757</v>
      </c>
      <c r="E47" s="10" t="s">
        <v>3758</v>
      </c>
    </row>
    <row r="48" spans="3:5" x14ac:dyDescent="0.25">
      <c r="C48" t="s">
        <v>3759</v>
      </c>
      <c r="D48" s="9" t="s">
        <v>3760</v>
      </c>
      <c r="E48" s="10" t="s">
        <v>3761</v>
      </c>
    </row>
    <row r="49" spans="3:5" x14ac:dyDescent="0.25">
      <c r="C49" t="s">
        <v>3762</v>
      </c>
      <c r="D49" s="9" t="s">
        <v>3763</v>
      </c>
      <c r="E49" s="10" t="s">
        <v>3764</v>
      </c>
    </row>
    <row r="50" spans="3:5" x14ac:dyDescent="0.25">
      <c r="C50" t="s">
        <v>3765</v>
      </c>
      <c r="D50" s="10" t="s">
        <v>3766</v>
      </c>
      <c r="E50" s="10" t="s">
        <v>3767</v>
      </c>
    </row>
    <row r="51" spans="3:5" x14ac:dyDescent="0.25">
      <c r="C51" t="s">
        <v>2563</v>
      </c>
      <c r="D51" s="9" t="s">
        <v>3768</v>
      </c>
      <c r="E51" s="10" t="s">
        <v>3769</v>
      </c>
    </row>
    <row r="52" spans="3:5" x14ac:dyDescent="0.25">
      <c r="C52" s="9" t="s">
        <v>3770</v>
      </c>
      <c r="D52" s="9" t="s">
        <v>3771</v>
      </c>
      <c r="E52" s="9" t="s">
        <v>3772</v>
      </c>
    </row>
    <row r="53" spans="3:5" x14ac:dyDescent="0.25">
      <c r="C53" t="s">
        <v>643</v>
      </c>
      <c r="D53" s="10" t="s">
        <v>3773</v>
      </c>
      <c r="E53" s="10" t="s">
        <v>3774</v>
      </c>
    </row>
    <row r="54" spans="3:5" ht="14.55" customHeight="1" x14ac:dyDescent="0.25">
      <c r="C54" t="s">
        <v>3775</v>
      </c>
      <c r="D54" s="10" t="s">
        <v>3776</v>
      </c>
      <c r="E54" s="10" t="s">
        <v>3777</v>
      </c>
    </row>
    <row r="55" spans="3:5" ht="14.55" customHeight="1" x14ac:dyDescent="0.25">
      <c r="C55" s="9" t="s">
        <v>3778</v>
      </c>
      <c r="D55" s="8" t="s">
        <v>3779</v>
      </c>
      <c r="E55" s="10" t="s">
        <v>3780</v>
      </c>
    </row>
    <row r="56" spans="3:5" ht="14.55" customHeight="1" x14ac:dyDescent="0.25">
      <c r="C56" s="9" t="s">
        <v>3781</v>
      </c>
      <c r="D56" s="8" t="s">
        <v>3782</v>
      </c>
      <c r="E56" s="10" t="s">
        <v>3783</v>
      </c>
    </row>
    <row r="57" spans="3:5" x14ac:dyDescent="0.25">
      <c r="C57" s="9" t="s">
        <v>3784</v>
      </c>
      <c r="D57" s="10" t="s">
        <v>3785</v>
      </c>
      <c r="E57" s="10" t="s">
        <v>3786</v>
      </c>
    </row>
    <row r="58" spans="3:5" x14ac:dyDescent="0.25">
      <c r="C58" s="9" t="s">
        <v>3787</v>
      </c>
      <c r="D58" s="10" t="s">
        <v>3788</v>
      </c>
      <c r="E58" s="10" t="s">
        <v>3789</v>
      </c>
    </row>
    <row r="59" spans="3:5" ht="14.55" customHeight="1" x14ac:dyDescent="0.25">
      <c r="C59" s="9" t="s">
        <v>3790</v>
      </c>
      <c r="D59" s="10" t="s">
        <v>3791</v>
      </c>
      <c r="E59" s="10" t="s">
        <v>3792</v>
      </c>
    </row>
    <row r="60" spans="3:5" ht="14.55" customHeight="1" x14ac:dyDescent="0.25">
      <c r="C60" s="9" t="s">
        <v>3793</v>
      </c>
      <c r="D60" s="9" t="s">
        <v>3794</v>
      </c>
      <c r="E60" s="8" t="s">
        <v>3795</v>
      </c>
    </row>
    <row r="61" spans="3:5" x14ac:dyDescent="0.25">
      <c r="C61" s="9" t="s">
        <v>3796</v>
      </c>
      <c r="D61" s="10" t="s">
        <v>3797</v>
      </c>
      <c r="E61" s="10" t="s">
        <v>3798</v>
      </c>
    </row>
    <row r="62" spans="3:5" x14ac:dyDescent="0.25">
      <c r="C62" s="9" t="s">
        <v>2432</v>
      </c>
      <c r="D62" s="10" t="s">
        <v>3799</v>
      </c>
      <c r="E62" s="10" t="s">
        <v>3800</v>
      </c>
    </row>
    <row r="63" spans="3:5" x14ac:dyDescent="0.25">
      <c r="C63" s="9" t="s">
        <v>3801</v>
      </c>
      <c r="D63" s="10" t="s">
        <v>3802</v>
      </c>
      <c r="E63" s="10" t="s">
        <v>3803</v>
      </c>
    </row>
    <row r="64" spans="3:5" x14ac:dyDescent="0.25">
      <c r="C64" s="9" t="s">
        <v>3804</v>
      </c>
      <c r="D64" s="10" t="s">
        <v>3805</v>
      </c>
      <c r="E64" s="10" t="s">
        <v>3806</v>
      </c>
    </row>
  </sheetData>
  <phoneticPr fontId="4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tabColor rgb="FF00E900"/>
  </sheetPr>
  <dimension ref="B2:BP38"/>
  <sheetViews>
    <sheetView showGridLines="0" topLeftCell="B1" workbookViewId="0">
      <selection activeCell="AO24" sqref="AO24"/>
    </sheetView>
  </sheetViews>
  <sheetFormatPr defaultColWidth="2.5546875" defaultRowHeight="16.5" customHeight="1" x14ac:dyDescent="0.25"/>
  <cols>
    <col min="1" max="1" width="2.5546875" style="1" customWidth="1"/>
    <col min="2" max="16384" width="2.5546875" style="1"/>
  </cols>
  <sheetData>
    <row r="2" spans="2:68" ht="16.5" customHeight="1" x14ac:dyDescent="0.25">
      <c r="B2" s="306" t="s">
        <v>3808</v>
      </c>
      <c r="C2" s="306"/>
      <c r="D2" s="306"/>
      <c r="E2" s="306"/>
      <c r="F2" s="306"/>
      <c r="G2" s="306"/>
      <c r="H2" s="306"/>
      <c r="I2" s="306"/>
      <c r="J2" s="306"/>
      <c r="K2" s="306"/>
      <c r="L2" s="306"/>
      <c r="M2" s="306"/>
      <c r="N2" s="306"/>
      <c r="O2" s="306"/>
      <c r="P2" s="306"/>
      <c r="Q2" s="306"/>
      <c r="R2" s="306"/>
      <c r="S2" s="306"/>
      <c r="T2" s="306"/>
      <c r="U2" s="306"/>
      <c r="V2" s="306"/>
      <c r="W2" s="306"/>
      <c r="X2" s="306"/>
      <c r="Y2" s="306"/>
      <c r="Z2" s="2"/>
      <c r="AA2" s="307" t="s">
        <v>3809</v>
      </c>
      <c r="AB2" s="307"/>
      <c r="AC2" s="307"/>
      <c r="AD2" s="307"/>
      <c r="AE2" s="307"/>
      <c r="AF2" s="307"/>
      <c r="AG2" s="307"/>
      <c r="AH2" s="307"/>
      <c r="AI2" s="307"/>
      <c r="AJ2" s="307"/>
      <c r="AK2" s="307"/>
      <c r="AL2" s="307"/>
      <c r="AM2" s="307"/>
      <c r="AN2" s="2"/>
      <c r="AO2" s="307" t="s">
        <v>3810</v>
      </c>
      <c r="AP2" s="307"/>
      <c r="AQ2" s="307"/>
      <c r="AR2" s="307"/>
      <c r="AS2" s="307"/>
      <c r="AT2" s="307"/>
      <c r="AU2" s="307"/>
      <c r="AV2" s="307"/>
      <c r="AW2" s="307"/>
      <c r="AX2" s="307"/>
      <c r="AY2" s="307"/>
      <c r="AZ2" s="307"/>
      <c r="BA2" s="307"/>
      <c r="BB2" s="2"/>
      <c r="BC2" s="307" t="s">
        <v>3811</v>
      </c>
      <c r="BD2" s="307"/>
      <c r="BE2" s="307"/>
      <c r="BF2" s="307"/>
      <c r="BG2" s="307"/>
      <c r="BH2" s="307"/>
      <c r="BI2" s="307"/>
      <c r="BJ2" s="307"/>
      <c r="BK2" s="307"/>
      <c r="BL2" s="307"/>
      <c r="BM2" s="307"/>
      <c r="BN2" s="307"/>
      <c r="BO2" s="307"/>
      <c r="BP2" s="2"/>
    </row>
    <row r="3" spans="2:68" ht="16.5" customHeight="1" x14ac:dyDescent="0.25">
      <c r="B3" s="318" t="s">
        <v>3812</v>
      </c>
      <c r="C3" s="319"/>
      <c r="D3" s="319"/>
      <c r="E3" s="319"/>
      <c r="F3" s="319"/>
      <c r="G3" s="319"/>
      <c r="H3" s="319"/>
      <c r="I3" s="319"/>
      <c r="J3" s="319"/>
      <c r="K3" s="319"/>
      <c r="L3" s="319"/>
      <c r="M3" s="319"/>
      <c r="N3" s="319"/>
      <c r="O3" s="319"/>
      <c r="P3" s="319"/>
      <c r="Q3" s="319"/>
      <c r="R3" s="319"/>
      <c r="S3" s="319"/>
      <c r="T3" s="319"/>
      <c r="U3" s="319"/>
      <c r="V3" s="319"/>
      <c r="W3" s="319"/>
      <c r="X3" s="319"/>
      <c r="Y3" s="320"/>
      <c r="Z3" s="2"/>
      <c r="AA3" s="308"/>
      <c r="AB3" s="308"/>
      <c r="AC3" s="308"/>
      <c r="AD3" s="308"/>
      <c r="AE3" s="308"/>
      <c r="AF3" s="308"/>
      <c r="AG3" s="308"/>
      <c r="AH3" s="308"/>
      <c r="AI3" s="308"/>
      <c r="AJ3" s="308"/>
      <c r="AK3" s="308"/>
      <c r="AL3" s="308"/>
      <c r="AM3" s="308"/>
      <c r="AN3" s="2"/>
      <c r="AO3" s="339"/>
      <c r="AP3" s="339"/>
      <c r="AQ3" s="309" t="s">
        <v>3813</v>
      </c>
      <c r="AR3" s="309"/>
      <c r="AS3" s="309"/>
      <c r="AT3" s="309"/>
      <c r="AU3" s="309"/>
      <c r="AV3" s="309"/>
      <c r="AW3" s="309"/>
      <c r="AX3" s="309"/>
      <c r="AY3" s="309"/>
      <c r="AZ3" s="309"/>
      <c r="BA3" s="309"/>
      <c r="BB3" s="2"/>
      <c r="BC3" s="308" t="s">
        <v>3814</v>
      </c>
      <c r="BD3" s="308"/>
      <c r="BE3" s="308"/>
      <c r="BF3" s="308"/>
      <c r="BG3" s="308"/>
      <c r="BH3" s="308"/>
      <c r="BI3" s="308"/>
      <c r="BJ3" s="308"/>
      <c r="BK3" s="308"/>
      <c r="BL3" s="308"/>
      <c r="BM3" s="308"/>
      <c r="BN3" s="308"/>
      <c r="BO3" s="308"/>
      <c r="BP3" s="2"/>
    </row>
    <row r="4" spans="2:68" ht="16.5" customHeight="1" x14ac:dyDescent="0.25">
      <c r="B4" s="321"/>
      <c r="C4" s="322"/>
      <c r="D4" s="322"/>
      <c r="E4" s="322"/>
      <c r="F4" s="322"/>
      <c r="G4" s="322"/>
      <c r="H4" s="322"/>
      <c r="I4" s="322"/>
      <c r="J4" s="322"/>
      <c r="K4" s="322"/>
      <c r="L4" s="322"/>
      <c r="M4" s="322"/>
      <c r="N4" s="322"/>
      <c r="O4" s="322"/>
      <c r="P4" s="322"/>
      <c r="Q4" s="322"/>
      <c r="R4" s="322"/>
      <c r="S4" s="322"/>
      <c r="T4" s="322"/>
      <c r="U4" s="322"/>
      <c r="V4" s="322"/>
      <c r="W4" s="322"/>
      <c r="X4" s="322"/>
      <c r="Y4" s="323"/>
      <c r="Z4" s="2"/>
      <c r="AA4" s="308"/>
      <c r="AB4" s="308"/>
      <c r="AC4" s="308"/>
      <c r="AD4" s="308"/>
      <c r="AE4" s="308"/>
      <c r="AF4" s="308"/>
      <c r="AG4" s="308"/>
      <c r="AH4" s="308"/>
      <c r="AI4" s="308"/>
      <c r="AJ4" s="308"/>
      <c r="AK4" s="308"/>
      <c r="AL4" s="308"/>
      <c r="AM4" s="308"/>
      <c r="AN4" s="2"/>
      <c r="AO4" s="339"/>
      <c r="AP4" s="339"/>
      <c r="AQ4" s="309" t="s">
        <v>3815</v>
      </c>
      <c r="AR4" s="309"/>
      <c r="AS4" s="309"/>
      <c r="AT4" s="309"/>
      <c r="AU4" s="309"/>
      <c r="AV4" s="309"/>
      <c r="AW4" s="309"/>
      <c r="AX4" s="309"/>
      <c r="AY4" s="309"/>
      <c r="AZ4" s="309"/>
      <c r="BA4" s="309"/>
      <c r="BB4" s="2"/>
      <c r="BC4" s="308" t="s">
        <v>3816</v>
      </c>
      <c r="BD4" s="308"/>
      <c r="BE4" s="308"/>
      <c r="BF4" s="308"/>
      <c r="BG4" s="308"/>
      <c r="BH4" s="308"/>
      <c r="BI4" s="308"/>
      <c r="BJ4" s="308"/>
      <c r="BK4" s="308"/>
      <c r="BL4" s="308"/>
      <c r="BM4" s="308"/>
      <c r="BN4" s="308"/>
      <c r="BO4" s="308"/>
      <c r="BP4" s="2"/>
    </row>
    <row r="5" spans="2:68" ht="16.5" customHeight="1" x14ac:dyDescent="0.25">
      <c r="B5" s="310" t="s">
        <v>3817</v>
      </c>
      <c r="C5" s="310"/>
      <c r="D5" s="310"/>
      <c r="E5" s="310"/>
      <c r="F5" s="310"/>
      <c r="G5" s="310"/>
      <c r="H5" s="310"/>
      <c r="I5" s="310"/>
      <c r="J5" s="310"/>
      <c r="K5" s="310"/>
      <c r="L5" s="310"/>
      <c r="M5" s="310"/>
      <c r="N5" s="310"/>
      <c r="O5" s="310"/>
      <c r="P5" s="310"/>
      <c r="Q5" s="310"/>
      <c r="R5" s="310"/>
      <c r="S5" s="310"/>
      <c r="T5" s="310"/>
      <c r="U5" s="310"/>
      <c r="V5" s="310"/>
      <c r="W5" s="310"/>
      <c r="X5" s="310"/>
      <c r="Y5" s="310"/>
      <c r="Z5" s="2"/>
      <c r="AA5" s="308"/>
      <c r="AB5" s="308"/>
      <c r="AC5" s="308"/>
      <c r="AD5" s="308"/>
      <c r="AE5" s="308"/>
      <c r="AF5" s="308"/>
      <c r="AG5" s="308"/>
      <c r="AH5" s="308"/>
      <c r="AI5" s="308"/>
      <c r="AJ5" s="308"/>
      <c r="AK5" s="308"/>
      <c r="AL5" s="308"/>
      <c r="AM5" s="308"/>
      <c r="AN5" s="2"/>
      <c r="AO5" s="2"/>
      <c r="AP5" s="2"/>
      <c r="AQ5" s="2"/>
      <c r="AR5" s="2"/>
      <c r="AS5" s="2"/>
      <c r="AT5" s="2"/>
      <c r="AU5" s="2"/>
      <c r="AV5" s="2"/>
      <c r="AW5" s="2"/>
      <c r="AX5" s="2"/>
      <c r="AY5" s="2"/>
      <c r="AZ5" s="2"/>
      <c r="BA5" s="2"/>
      <c r="BB5" s="2"/>
      <c r="BC5" s="308"/>
      <c r="BD5" s="308"/>
      <c r="BE5" s="308"/>
      <c r="BF5" s="308"/>
      <c r="BG5" s="308"/>
      <c r="BH5" s="308"/>
      <c r="BI5" s="308"/>
      <c r="BJ5" s="308"/>
      <c r="BK5" s="308"/>
      <c r="BL5" s="308"/>
      <c r="BM5" s="308"/>
      <c r="BN5" s="308"/>
      <c r="BO5" s="308"/>
      <c r="BP5" s="2"/>
    </row>
    <row r="6" spans="2:68" ht="16.5" customHeight="1" x14ac:dyDescent="0.25">
      <c r="B6" s="310" t="s">
        <v>3818</v>
      </c>
      <c r="C6" s="310"/>
      <c r="D6" s="310"/>
      <c r="E6" s="310"/>
      <c r="F6" s="310"/>
      <c r="G6" s="310"/>
      <c r="H6" s="310"/>
      <c r="I6" s="310"/>
      <c r="J6" s="310"/>
      <c r="K6" s="310"/>
      <c r="L6" s="310"/>
      <c r="M6" s="310"/>
      <c r="N6" s="310"/>
      <c r="O6" s="310"/>
      <c r="P6" s="310"/>
      <c r="Q6" s="310"/>
      <c r="R6" s="310"/>
      <c r="S6" s="310"/>
      <c r="T6" s="310"/>
      <c r="U6" s="310"/>
      <c r="V6" s="310"/>
      <c r="W6" s="310"/>
      <c r="X6" s="310"/>
      <c r="Y6" s="310"/>
      <c r="Z6" s="2"/>
      <c r="AA6" s="308"/>
      <c r="AB6" s="308"/>
      <c r="AC6" s="308"/>
      <c r="AD6" s="308"/>
      <c r="AE6" s="308"/>
      <c r="AF6" s="308"/>
      <c r="AG6" s="308"/>
      <c r="AH6" s="308"/>
      <c r="AI6" s="308"/>
      <c r="AJ6" s="308"/>
      <c r="AK6" s="308"/>
      <c r="AL6" s="308"/>
      <c r="AM6" s="308"/>
      <c r="AN6" s="2"/>
      <c r="AO6" s="324"/>
      <c r="AP6" s="324"/>
      <c r="AQ6" s="308" t="s">
        <v>3819</v>
      </c>
      <c r="AR6" s="308"/>
      <c r="AS6" s="308"/>
      <c r="AT6" s="308"/>
      <c r="AU6" s="308"/>
      <c r="AV6" s="308"/>
      <c r="AW6" s="308"/>
      <c r="AX6" s="308"/>
      <c r="AY6" s="308"/>
      <c r="AZ6" s="308"/>
      <c r="BA6" s="308"/>
      <c r="BB6" s="2"/>
      <c r="BC6" s="3"/>
      <c r="BD6" s="3"/>
      <c r="BE6" s="3"/>
      <c r="BF6" s="3"/>
      <c r="BG6" s="3"/>
      <c r="BH6" s="3"/>
      <c r="BI6" s="3"/>
      <c r="BJ6" s="3"/>
      <c r="BK6" s="3"/>
      <c r="BL6" s="3"/>
      <c r="BM6" s="3"/>
      <c r="BN6" s="3"/>
      <c r="BO6" s="3"/>
      <c r="BP6" s="2"/>
    </row>
    <row r="7" spans="2:68" ht="16.5" customHeight="1" x14ac:dyDescent="0.25">
      <c r="B7" s="311" t="s">
        <v>3820</v>
      </c>
      <c r="C7" s="311"/>
      <c r="D7" s="311"/>
      <c r="E7" s="311"/>
      <c r="F7" s="311"/>
      <c r="G7" s="311"/>
      <c r="H7" s="311"/>
      <c r="I7" s="311"/>
      <c r="J7" s="311"/>
      <c r="K7" s="311"/>
      <c r="L7" s="311"/>
      <c r="M7" s="311"/>
      <c r="N7" s="311"/>
      <c r="O7" s="311"/>
      <c r="P7" s="311"/>
      <c r="Q7" s="311"/>
      <c r="R7" s="311"/>
      <c r="S7" s="311"/>
      <c r="T7" s="311"/>
      <c r="U7" s="311"/>
      <c r="V7" s="311"/>
      <c r="W7" s="311"/>
      <c r="X7" s="311"/>
      <c r="Y7" s="311"/>
      <c r="Z7" s="2"/>
      <c r="AA7" s="308"/>
      <c r="AB7" s="308"/>
      <c r="AC7" s="308"/>
      <c r="AD7" s="308"/>
      <c r="AE7" s="308"/>
      <c r="AF7" s="308"/>
      <c r="AG7" s="308"/>
      <c r="AH7" s="308"/>
      <c r="AI7" s="308"/>
      <c r="AJ7" s="308"/>
      <c r="AK7" s="308"/>
      <c r="AL7" s="308"/>
      <c r="AM7" s="308"/>
      <c r="AN7" s="2"/>
      <c r="AO7" s="324"/>
      <c r="AP7" s="324"/>
      <c r="AQ7" s="308" t="s">
        <v>3821</v>
      </c>
      <c r="AR7" s="308"/>
      <c r="AS7" s="308"/>
      <c r="AT7" s="308"/>
      <c r="AU7" s="308"/>
      <c r="AV7" s="308"/>
      <c r="AW7" s="308"/>
      <c r="AX7" s="308"/>
      <c r="AY7" s="308"/>
      <c r="AZ7" s="308"/>
      <c r="BA7" s="308"/>
      <c r="BB7" s="2"/>
      <c r="BC7" s="308" t="s">
        <v>3822</v>
      </c>
      <c r="BD7" s="308"/>
      <c r="BE7" s="308"/>
      <c r="BF7" s="308"/>
      <c r="BG7" s="308"/>
      <c r="BH7" s="308"/>
      <c r="BI7" s="308"/>
      <c r="BJ7" s="308"/>
      <c r="BK7" s="308"/>
      <c r="BL7" s="308"/>
      <c r="BM7" s="308"/>
      <c r="BN7" s="308"/>
      <c r="BO7" s="308"/>
      <c r="BP7" s="2"/>
    </row>
    <row r="8" spans="2:68" ht="16.5" customHeight="1" x14ac:dyDescent="0.25">
      <c r="B8" s="310" t="s">
        <v>3823</v>
      </c>
      <c r="C8" s="310"/>
      <c r="D8" s="310"/>
      <c r="E8" s="310"/>
      <c r="F8" s="310"/>
      <c r="G8" s="310"/>
      <c r="H8" s="310"/>
      <c r="I8" s="310"/>
      <c r="J8" s="310"/>
      <c r="K8" s="310"/>
      <c r="L8" s="310"/>
      <c r="M8" s="310"/>
      <c r="N8" s="310"/>
      <c r="O8" s="310"/>
      <c r="P8" s="310"/>
      <c r="Q8" s="310"/>
      <c r="R8" s="310"/>
      <c r="S8" s="310"/>
      <c r="T8" s="310"/>
      <c r="U8" s="310"/>
      <c r="V8" s="310"/>
      <c r="W8" s="310"/>
      <c r="X8" s="310"/>
      <c r="Y8" s="310"/>
      <c r="Z8" s="2"/>
      <c r="AA8" s="308"/>
      <c r="AB8" s="308"/>
      <c r="AC8" s="308"/>
      <c r="AD8" s="308"/>
      <c r="AE8" s="308"/>
      <c r="AF8" s="308"/>
      <c r="AG8" s="308"/>
      <c r="AH8" s="308"/>
      <c r="AI8" s="308"/>
      <c r="AJ8" s="308"/>
      <c r="AK8" s="308"/>
      <c r="AL8" s="308"/>
      <c r="AM8" s="308"/>
      <c r="AN8" s="2"/>
      <c r="AO8" s="2"/>
      <c r="AP8" s="2"/>
      <c r="AQ8" s="2"/>
      <c r="AR8" s="2"/>
      <c r="AS8" s="2"/>
      <c r="AT8" s="2"/>
      <c r="AU8" s="2"/>
      <c r="AV8" s="2"/>
      <c r="AW8" s="2"/>
      <c r="AX8" s="2"/>
      <c r="AY8" s="2"/>
      <c r="AZ8" s="2"/>
      <c r="BA8" s="2"/>
      <c r="BB8" s="2"/>
      <c r="BC8" s="308" t="s">
        <v>3824</v>
      </c>
      <c r="BD8" s="308"/>
      <c r="BE8" s="308"/>
      <c r="BF8" s="308"/>
      <c r="BG8" s="308"/>
      <c r="BH8" s="308"/>
      <c r="BI8" s="308"/>
      <c r="BJ8" s="308"/>
      <c r="BK8" s="308"/>
      <c r="BL8" s="308"/>
      <c r="BM8" s="308"/>
      <c r="BN8" s="308"/>
      <c r="BO8" s="308"/>
      <c r="BP8" s="2"/>
    </row>
    <row r="9" spans="2:68" ht="16.5" customHeight="1" x14ac:dyDescent="0.25">
      <c r="B9" s="310" t="s">
        <v>3825</v>
      </c>
      <c r="C9" s="310"/>
      <c r="D9" s="310"/>
      <c r="E9" s="310"/>
      <c r="F9" s="310"/>
      <c r="G9" s="310"/>
      <c r="H9" s="310"/>
      <c r="I9" s="310"/>
      <c r="J9" s="310"/>
      <c r="K9" s="310"/>
      <c r="L9" s="310"/>
      <c r="M9" s="310"/>
      <c r="N9" s="310"/>
      <c r="O9" s="310"/>
      <c r="P9" s="310"/>
      <c r="Q9" s="310"/>
      <c r="R9" s="310"/>
      <c r="S9" s="310"/>
      <c r="T9" s="310"/>
      <c r="U9" s="310"/>
      <c r="V9" s="310"/>
      <c r="W9" s="310"/>
      <c r="X9" s="310"/>
      <c r="Y9" s="310"/>
      <c r="Z9" s="2"/>
      <c r="AA9" s="308"/>
      <c r="AB9" s="308"/>
      <c r="AC9" s="308"/>
      <c r="AD9" s="308"/>
      <c r="AE9" s="308"/>
      <c r="AF9" s="308"/>
      <c r="AG9" s="308"/>
      <c r="AH9" s="308"/>
      <c r="AI9" s="308"/>
      <c r="AJ9" s="308"/>
      <c r="AK9" s="308"/>
      <c r="AL9" s="308"/>
      <c r="AM9" s="308"/>
      <c r="AN9" s="2"/>
      <c r="AO9" s="338" t="s">
        <v>3826</v>
      </c>
      <c r="AP9" s="338"/>
      <c r="AQ9" s="308" t="s">
        <v>3827</v>
      </c>
      <c r="AR9" s="308"/>
      <c r="AS9" s="308"/>
      <c r="AT9" s="308"/>
      <c r="AU9" s="308"/>
      <c r="AV9" s="308"/>
      <c r="AW9" s="308"/>
      <c r="AX9" s="308"/>
      <c r="AY9" s="308"/>
      <c r="AZ9" s="308"/>
      <c r="BA9" s="308"/>
      <c r="BB9" s="2"/>
      <c r="BC9" s="308"/>
      <c r="BD9" s="308"/>
      <c r="BE9" s="308"/>
      <c r="BF9" s="308"/>
      <c r="BG9" s="308"/>
      <c r="BH9" s="308"/>
      <c r="BI9" s="308"/>
      <c r="BJ9" s="308"/>
      <c r="BK9" s="308"/>
      <c r="BL9" s="308"/>
      <c r="BM9" s="308"/>
      <c r="BN9" s="308"/>
      <c r="BO9" s="308"/>
      <c r="BP9" s="2"/>
    </row>
    <row r="10" spans="2:68" ht="16.5" customHeight="1" x14ac:dyDescent="0.25">
      <c r="B10" s="310" t="s">
        <v>3828</v>
      </c>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2"/>
      <c r="AA10" s="308"/>
      <c r="AB10" s="308"/>
      <c r="AC10" s="308"/>
      <c r="AD10" s="308"/>
      <c r="AE10" s="308"/>
      <c r="AF10" s="308"/>
      <c r="AG10" s="308"/>
      <c r="AH10" s="308"/>
      <c r="AI10" s="308"/>
      <c r="AJ10" s="308"/>
      <c r="AK10" s="308"/>
      <c r="AL10" s="308"/>
      <c r="AM10" s="308"/>
      <c r="AN10" s="2"/>
      <c r="AO10" s="338"/>
      <c r="AP10" s="338"/>
      <c r="AQ10" s="308" t="s">
        <v>3829</v>
      </c>
      <c r="AR10" s="308"/>
      <c r="AS10" s="308"/>
      <c r="AT10" s="308"/>
      <c r="AU10" s="308"/>
      <c r="AV10" s="308"/>
      <c r="AW10" s="308"/>
      <c r="AX10" s="308"/>
      <c r="AY10" s="308"/>
      <c r="AZ10" s="308"/>
      <c r="BA10" s="308"/>
      <c r="BB10" s="2"/>
      <c r="BC10" s="3"/>
      <c r="BD10" s="3"/>
      <c r="BE10" s="3"/>
      <c r="BF10" s="3"/>
      <c r="BG10" s="3"/>
      <c r="BH10" s="3"/>
      <c r="BI10" s="3"/>
      <c r="BJ10" s="3"/>
      <c r="BK10" s="3"/>
      <c r="BL10" s="3"/>
      <c r="BM10" s="3"/>
      <c r="BN10" s="3"/>
      <c r="BO10" s="3"/>
      <c r="BP10" s="2"/>
    </row>
    <row r="11" spans="2:68" ht="16.5" customHeight="1" x14ac:dyDescent="0.25">
      <c r="B11" s="310" t="s">
        <v>3830</v>
      </c>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2"/>
      <c r="AA11" s="308"/>
      <c r="AB11" s="308"/>
      <c r="AC11" s="308"/>
      <c r="AD11" s="308"/>
      <c r="AE11" s="308"/>
      <c r="AF11" s="308"/>
      <c r="AG11" s="308"/>
      <c r="AH11" s="308"/>
      <c r="AI11" s="308"/>
      <c r="AJ11" s="308"/>
      <c r="AK11" s="308"/>
      <c r="AL11" s="308"/>
      <c r="AM11" s="308"/>
      <c r="AN11" s="2"/>
      <c r="AO11" s="2"/>
      <c r="AP11" s="2"/>
      <c r="AQ11" s="2"/>
      <c r="AR11" s="2"/>
      <c r="AS11" s="2"/>
      <c r="AT11" s="2"/>
      <c r="AU11" s="2"/>
      <c r="AV11" s="2"/>
      <c r="AW11" s="2"/>
      <c r="AX11" s="2"/>
      <c r="AY11" s="2"/>
      <c r="AZ11" s="2"/>
      <c r="BA11" s="2"/>
      <c r="BB11" s="2"/>
      <c r="BC11" s="308" t="s">
        <v>3831</v>
      </c>
      <c r="BD11" s="308"/>
      <c r="BE11" s="308"/>
      <c r="BF11" s="308"/>
      <c r="BG11" s="308"/>
      <c r="BH11" s="308"/>
      <c r="BI11" s="308"/>
      <c r="BJ11" s="308"/>
      <c r="BK11" s="308"/>
      <c r="BL11" s="308"/>
      <c r="BM11" s="308"/>
      <c r="BN11" s="308"/>
      <c r="BO11" s="308"/>
      <c r="BP11" s="2"/>
    </row>
    <row r="12" spans="2:68" ht="16.5" customHeight="1" x14ac:dyDescent="0.25">
      <c r="B12" s="310" t="s">
        <v>3832</v>
      </c>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2"/>
      <c r="AA12" s="308"/>
      <c r="AB12" s="308"/>
      <c r="AC12" s="308"/>
      <c r="AD12" s="308"/>
      <c r="AE12" s="308"/>
      <c r="AF12" s="308"/>
      <c r="AG12" s="308"/>
      <c r="AH12" s="308"/>
      <c r="AI12" s="308"/>
      <c r="AJ12" s="308"/>
      <c r="AK12" s="308"/>
      <c r="AL12" s="308"/>
      <c r="AM12" s="308"/>
      <c r="AN12" s="2"/>
      <c r="AO12" s="324"/>
      <c r="AP12" s="324"/>
      <c r="AQ12" s="308" t="s">
        <v>3833</v>
      </c>
      <c r="AR12" s="308"/>
      <c r="AS12" s="308"/>
      <c r="AT12" s="308"/>
      <c r="AU12" s="308"/>
      <c r="AV12" s="308"/>
      <c r="AW12" s="308"/>
      <c r="AX12" s="308"/>
      <c r="AY12" s="308"/>
      <c r="AZ12" s="308"/>
      <c r="BA12" s="308"/>
      <c r="BB12" s="2"/>
      <c r="BC12" s="308" t="s">
        <v>3834</v>
      </c>
      <c r="BD12" s="308"/>
      <c r="BE12" s="308"/>
      <c r="BF12" s="308"/>
      <c r="BG12" s="308"/>
      <c r="BH12" s="308"/>
      <c r="BI12" s="308"/>
      <c r="BJ12" s="308"/>
      <c r="BK12" s="308"/>
      <c r="BL12" s="308"/>
      <c r="BM12" s="308"/>
      <c r="BN12" s="308"/>
      <c r="BO12" s="308"/>
      <c r="BP12" s="2"/>
    </row>
    <row r="13" spans="2:68" ht="16.5" customHeight="1" x14ac:dyDescent="0.25">
      <c r="B13" s="310" t="s">
        <v>3835</v>
      </c>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2"/>
      <c r="AA13" s="308"/>
      <c r="AB13" s="308"/>
      <c r="AC13" s="308"/>
      <c r="AD13" s="308"/>
      <c r="AE13" s="308"/>
      <c r="AF13" s="308"/>
      <c r="AG13" s="308"/>
      <c r="AH13" s="308"/>
      <c r="AI13" s="308"/>
      <c r="AJ13" s="308"/>
      <c r="AK13" s="308"/>
      <c r="AL13" s="308"/>
      <c r="AM13" s="308"/>
      <c r="AN13" s="2"/>
      <c r="AO13" s="324"/>
      <c r="AP13" s="324"/>
      <c r="AQ13" s="308" t="s">
        <v>3836</v>
      </c>
      <c r="AR13" s="308"/>
      <c r="AS13" s="308"/>
      <c r="AT13" s="308"/>
      <c r="AU13" s="308"/>
      <c r="AV13" s="308"/>
      <c r="AW13" s="308"/>
      <c r="AX13" s="308"/>
      <c r="AY13" s="308"/>
      <c r="AZ13" s="308"/>
      <c r="BA13" s="308"/>
      <c r="BB13" s="2"/>
      <c r="BC13" s="308"/>
      <c r="BD13" s="308"/>
      <c r="BE13" s="308"/>
      <c r="BF13" s="308"/>
      <c r="BG13" s="308"/>
      <c r="BH13" s="308"/>
      <c r="BI13" s="308"/>
      <c r="BJ13" s="308"/>
      <c r="BK13" s="308"/>
      <c r="BL13" s="308"/>
      <c r="BM13" s="308"/>
      <c r="BN13" s="308"/>
      <c r="BO13" s="308"/>
      <c r="BP13" s="2"/>
    </row>
    <row r="14" spans="2:68" ht="16.5" customHeight="1" x14ac:dyDescent="0.25">
      <c r="B14" s="310" t="s">
        <v>3837</v>
      </c>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2"/>
      <c r="AA14" s="2"/>
      <c r="AB14" s="2"/>
      <c r="AC14" s="2"/>
      <c r="AD14" s="2"/>
      <c r="AE14" s="2"/>
      <c r="AF14" s="2"/>
      <c r="AG14" s="2"/>
      <c r="AH14" s="2"/>
      <c r="AI14" s="2"/>
      <c r="AJ14" s="2"/>
      <c r="AK14" s="2"/>
      <c r="AL14" s="2"/>
      <c r="AM14" s="2"/>
      <c r="AN14" s="2"/>
      <c r="AO14" s="324"/>
      <c r="AP14" s="324"/>
      <c r="AQ14" s="308" t="s">
        <v>3838</v>
      </c>
      <c r="AR14" s="308"/>
      <c r="AS14" s="308"/>
      <c r="AT14" s="308"/>
      <c r="AU14" s="308"/>
      <c r="AV14" s="308"/>
      <c r="AW14" s="308"/>
      <c r="AX14" s="308"/>
      <c r="AY14" s="308"/>
      <c r="AZ14" s="308"/>
      <c r="BA14" s="308"/>
      <c r="BB14" s="2"/>
      <c r="BC14" s="3"/>
      <c r="BD14" s="3"/>
      <c r="BE14" s="3"/>
      <c r="BF14" s="3"/>
      <c r="BG14" s="3"/>
      <c r="BH14" s="3"/>
      <c r="BI14" s="3"/>
      <c r="BJ14" s="3"/>
      <c r="BK14" s="3"/>
      <c r="BL14" s="3"/>
      <c r="BM14" s="3"/>
      <c r="BN14" s="3"/>
      <c r="BO14" s="3"/>
      <c r="BP14" s="2"/>
    </row>
    <row r="15" spans="2:68" ht="16.5" customHeight="1" x14ac:dyDescent="0.25">
      <c r="B15" s="310" t="s">
        <v>3839</v>
      </c>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2"/>
      <c r="AA15" s="2"/>
      <c r="AB15" s="2"/>
      <c r="AC15" s="2"/>
      <c r="AD15" s="2"/>
      <c r="AE15" s="2"/>
      <c r="AF15" s="2"/>
      <c r="AG15" s="2"/>
      <c r="AH15" s="2"/>
      <c r="AI15" s="2"/>
      <c r="AJ15" s="2"/>
      <c r="AK15" s="2"/>
      <c r="AL15" s="2"/>
      <c r="AM15" s="2"/>
      <c r="AN15" s="2"/>
      <c r="AO15" s="324"/>
      <c r="AP15" s="324"/>
      <c r="AQ15" s="308" t="s">
        <v>3840</v>
      </c>
      <c r="AR15" s="308"/>
      <c r="AS15" s="308"/>
      <c r="AT15" s="308"/>
      <c r="AU15" s="308"/>
      <c r="AV15" s="308"/>
      <c r="AW15" s="308"/>
      <c r="AX15" s="308"/>
      <c r="AY15" s="308"/>
      <c r="AZ15" s="308"/>
      <c r="BA15" s="308"/>
      <c r="BB15" s="2"/>
      <c r="BC15" s="308" t="s">
        <v>3841</v>
      </c>
      <c r="BD15" s="308"/>
      <c r="BE15" s="308"/>
      <c r="BF15" s="308"/>
      <c r="BG15" s="308"/>
      <c r="BH15" s="308"/>
      <c r="BI15" s="308"/>
      <c r="BJ15" s="308"/>
      <c r="BK15" s="308"/>
      <c r="BL15" s="308"/>
      <c r="BM15" s="308"/>
      <c r="BN15" s="308"/>
      <c r="BO15" s="308"/>
      <c r="BP15" s="2"/>
    </row>
    <row r="16" spans="2:68" ht="16.5" customHeight="1" x14ac:dyDescent="0.25">
      <c r="B16" s="310" t="s">
        <v>3842</v>
      </c>
      <c r="C16" s="310"/>
      <c r="D16" s="310"/>
      <c r="E16" s="310"/>
      <c r="F16" s="310"/>
      <c r="G16" s="310"/>
      <c r="H16" s="310"/>
      <c r="I16" s="310"/>
      <c r="J16" s="310"/>
      <c r="K16" s="310"/>
      <c r="L16" s="310"/>
      <c r="M16" s="310"/>
      <c r="N16" s="310"/>
      <c r="O16" s="310"/>
      <c r="P16" s="310"/>
      <c r="Q16" s="310"/>
      <c r="R16" s="310"/>
      <c r="S16" s="310"/>
      <c r="T16" s="310"/>
      <c r="U16" s="310"/>
      <c r="V16" s="310"/>
      <c r="W16" s="310"/>
      <c r="X16" s="310"/>
      <c r="Y16" s="310"/>
      <c r="Z16" s="2"/>
      <c r="AA16" s="312" t="s">
        <v>3843</v>
      </c>
      <c r="AB16" s="312"/>
      <c r="AC16" s="312"/>
      <c r="AD16" s="312"/>
      <c r="AE16" s="312"/>
      <c r="AF16" s="312"/>
      <c r="AG16" s="312"/>
      <c r="AH16" s="312"/>
      <c r="AI16" s="312"/>
      <c r="AJ16" s="312"/>
      <c r="AK16" s="312"/>
      <c r="AL16" s="312"/>
      <c r="AM16" s="312"/>
      <c r="AN16" s="2"/>
      <c r="AO16" s="2"/>
      <c r="AP16" s="2"/>
      <c r="AQ16" s="2"/>
      <c r="AR16" s="2"/>
      <c r="AS16" s="2"/>
      <c r="AT16" s="2"/>
      <c r="AU16" s="2"/>
      <c r="AV16" s="2"/>
      <c r="AW16" s="2"/>
      <c r="AX16" s="2"/>
      <c r="AY16" s="2"/>
      <c r="AZ16" s="2"/>
      <c r="BA16" s="2"/>
      <c r="BB16" s="2"/>
      <c r="BC16" s="308" t="s">
        <v>3844</v>
      </c>
      <c r="BD16" s="308"/>
      <c r="BE16" s="308"/>
      <c r="BF16" s="308"/>
      <c r="BG16" s="308"/>
      <c r="BH16" s="308"/>
      <c r="BI16" s="308"/>
      <c r="BJ16" s="308"/>
      <c r="BK16" s="308"/>
      <c r="BL16" s="308"/>
      <c r="BM16" s="308"/>
      <c r="BN16" s="308"/>
      <c r="BO16" s="308"/>
      <c r="BP16" s="2"/>
    </row>
    <row r="17" spans="2:68" ht="16.5" customHeight="1" x14ac:dyDescent="0.25">
      <c r="B17" s="310" t="s">
        <v>3845</v>
      </c>
      <c r="C17" s="310"/>
      <c r="D17" s="310"/>
      <c r="E17" s="310"/>
      <c r="F17" s="310"/>
      <c r="G17" s="310"/>
      <c r="H17" s="310"/>
      <c r="I17" s="310"/>
      <c r="J17" s="310"/>
      <c r="K17" s="310"/>
      <c r="L17" s="310"/>
      <c r="M17" s="310"/>
      <c r="N17" s="310"/>
      <c r="O17" s="310"/>
      <c r="P17" s="310"/>
      <c r="Q17" s="310"/>
      <c r="R17" s="310"/>
      <c r="S17" s="310"/>
      <c r="T17" s="310"/>
      <c r="U17" s="310"/>
      <c r="V17" s="310"/>
      <c r="W17" s="310"/>
      <c r="X17" s="310"/>
      <c r="Y17" s="310"/>
      <c r="Z17" s="2"/>
      <c r="AA17" s="312" t="s">
        <v>3846</v>
      </c>
      <c r="AB17" s="312"/>
      <c r="AC17" s="312"/>
      <c r="AD17" s="312"/>
      <c r="AE17" s="312"/>
      <c r="AF17" s="312"/>
      <c r="AG17" s="312"/>
      <c r="AH17" s="312"/>
      <c r="AI17" s="312"/>
      <c r="AJ17" s="312"/>
      <c r="AK17" s="312"/>
      <c r="AL17" s="312"/>
      <c r="AM17" s="312"/>
      <c r="AN17" s="2"/>
      <c r="AO17" s="2"/>
      <c r="AP17" s="2"/>
      <c r="AQ17" s="2"/>
      <c r="AR17" s="2"/>
      <c r="AS17" s="2"/>
      <c r="AT17" s="2"/>
      <c r="AU17" s="2"/>
      <c r="AV17" s="2"/>
      <c r="AW17" s="2"/>
      <c r="AX17" s="2"/>
      <c r="AY17" s="2"/>
      <c r="AZ17" s="2"/>
      <c r="BA17" s="2"/>
      <c r="BB17" s="2"/>
      <c r="BC17" s="308"/>
      <c r="BD17" s="308"/>
      <c r="BE17" s="308"/>
      <c r="BF17" s="308"/>
      <c r="BG17" s="308"/>
      <c r="BH17" s="308"/>
      <c r="BI17" s="308"/>
      <c r="BJ17" s="308"/>
      <c r="BK17" s="308"/>
      <c r="BL17" s="308"/>
      <c r="BM17" s="308"/>
      <c r="BN17" s="308"/>
      <c r="BO17" s="308"/>
      <c r="BP17" s="2"/>
    </row>
    <row r="18" spans="2:68" ht="16.5" customHeight="1" x14ac:dyDescent="0.25">
      <c r="B18" s="310" t="s">
        <v>3847</v>
      </c>
      <c r="C18" s="310"/>
      <c r="D18" s="310"/>
      <c r="E18" s="310"/>
      <c r="F18" s="310"/>
      <c r="G18" s="310"/>
      <c r="H18" s="310"/>
      <c r="I18" s="310"/>
      <c r="J18" s="310"/>
      <c r="K18" s="310"/>
      <c r="L18" s="310"/>
      <c r="M18" s="310"/>
      <c r="N18" s="310"/>
      <c r="O18" s="310"/>
      <c r="P18" s="310"/>
      <c r="Q18" s="310"/>
      <c r="R18" s="310"/>
      <c r="S18" s="310"/>
      <c r="T18" s="310"/>
      <c r="U18" s="310"/>
      <c r="V18" s="310"/>
      <c r="W18" s="310"/>
      <c r="X18" s="310"/>
      <c r="Y18" s="310"/>
      <c r="Z18" s="2"/>
      <c r="AA18" s="313" t="s">
        <v>3848</v>
      </c>
      <c r="AB18" s="313"/>
      <c r="AC18" s="313"/>
      <c r="AD18" s="313"/>
      <c r="AE18" s="313"/>
      <c r="AF18" s="313"/>
      <c r="AG18" s="313"/>
      <c r="AH18" s="313"/>
      <c r="AI18" s="313"/>
      <c r="AJ18" s="313"/>
      <c r="AK18" s="313"/>
      <c r="AL18" s="313"/>
      <c r="AM18" s="2"/>
      <c r="AN18" s="2"/>
      <c r="AO18" s="2"/>
      <c r="AP18" s="2"/>
      <c r="AQ18" s="2"/>
      <c r="AR18" s="2"/>
      <c r="AS18" s="2"/>
      <c r="AT18" s="2"/>
      <c r="AU18" s="2"/>
      <c r="AV18" s="2"/>
      <c r="AW18" s="2"/>
      <c r="AX18" s="2"/>
      <c r="AY18" s="2"/>
      <c r="AZ18" s="2"/>
      <c r="BA18" s="2"/>
      <c r="BB18" s="2"/>
      <c r="BC18" s="3"/>
      <c r="BD18" s="3"/>
      <c r="BE18" s="3"/>
      <c r="BF18" s="3"/>
      <c r="BG18" s="3"/>
      <c r="BH18" s="3"/>
      <c r="BI18" s="3"/>
      <c r="BJ18" s="3"/>
      <c r="BK18" s="3"/>
      <c r="BL18" s="3"/>
      <c r="BM18" s="3"/>
      <c r="BN18" s="3"/>
      <c r="BO18" s="3"/>
      <c r="BP18" s="2"/>
    </row>
    <row r="19" spans="2:68" ht="16.5" customHeight="1" x14ac:dyDescent="0.25">
      <c r="B19" s="310" t="s">
        <v>3849</v>
      </c>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325" t="s">
        <v>3850</v>
      </c>
      <c r="BD19" s="326"/>
      <c r="BE19" s="326"/>
      <c r="BF19" s="326"/>
      <c r="BG19" s="326"/>
      <c r="BH19" s="326"/>
      <c r="BI19" s="326"/>
      <c r="BJ19" s="326"/>
      <c r="BK19" s="326"/>
      <c r="BL19" s="326"/>
      <c r="BM19" s="326"/>
      <c r="BN19" s="326"/>
      <c r="BO19" s="327"/>
      <c r="BP19" s="2"/>
    </row>
    <row r="20" spans="2:68" ht="16.5" customHeight="1" x14ac:dyDescent="0.25">
      <c r="B20" s="310" t="s">
        <v>3851</v>
      </c>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2"/>
      <c r="AA20" s="314" t="s">
        <v>3807</v>
      </c>
      <c r="AB20" s="314"/>
      <c r="AC20" s="314"/>
      <c r="AD20" s="314"/>
      <c r="AE20" s="314"/>
      <c r="AF20" s="314"/>
      <c r="AG20" s="314"/>
      <c r="AH20" s="314"/>
      <c r="AI20" s="314"/>
      <c r="AJ20" s="314"/>
      <c r="AK20" s="314"/>
      <c r="AL20" s="314"/>
      <c r="AM20" s="314"/>
      <c r="AN20" s="2"/>
      <c r="AO20" s="2"/>
      <c r="AP20" s="2"/>
      <c r="AQ20" s="2"/>
      <c r="AR20" s="2"/>
      <c r="AS20" s="2"/>
      <c r="AT20" s="2"/>
      <c r="AU20" s="2"/>
      <c r="AV20" s="2"/>
      <c r="AW20" s="2"/>
      <c r="AX20" s="2"/>
      <c r="AY20" s="2"/>
      <c r="AZ20" s="2"/>
      <c r="BA20" s="2"/>
      <c r="BB20" s="2"/>
      <c r="BC20" s="328"/>
      <c r="BD20" s="329"/>
      <c r="BE20" s="329"/>
      <c r="BF20" s="329"/>
      <c r="BG20" s="329"/>
      <c r="BH20" s="329"/>
      <c r="BI20" s="329"/>
      <c r="BJ20" s="329"/>
      <c r="BK20" s="329"/>
      <c r="BL20" s="329"/>
      <c r="BM20" s="329"/>
      <c r="BN20" s="329"/>
      <c r="BO20" s="330"/>
      <c r="BP20" s="2"/>
    </row>
    <row r="21" spans="2:68" ht="16.5" customHeight="1" x14ac:dyDescent="0.25">
      <c r="B21" s="310" t="s">
        <v>3852</v>
      </c>
      <c r="C21" s="310"/>
      <c r="D21" s="310"/>
      <c r="E21" s="310"/>
      <c r="F21" s="310"/>
      <c r="G21" s="310"/>
      <c r="H21" s="310"/>
      <c r="I21" s="310"/>
      <c r="J21" s="310"/>
      <c r="K21" s="310"/>
      <c r="L21" s="310"/>
      <c r="M21" s="310"/>
      <c r="N21" s="310"/>
      <c r="O21" s="310"/>
      <c r="P21" s="310"/>
      <c r="Q21" s="310"/>
      <c r="R21" s="310"/>
      <c r="S21" s="310"/>
      <c r="T21" s="310"/>
      <c r="U21" s="310"/>
      <c r="V21" s="310"/>
      <c r="W21" s="310"/>
      <c r="X21" s="310"/>
      <c r="Y21" s="310"/>
      <c r="Z21" s="2"/>
      <c r="AA21" s="314" t="s">
        <v>3853</v>
      </c>
      <c r="AB21" s="314"/>
      <c r="AC21" s="314"/>
      <c r="AD21" s="314"/>
      <c r="AE21" s="314"/>
      <c r="AF21" s="314"/>
      <c r="AG21" s="314"/>
      <c r="AH21" s="314"/>
      <c r="AI21" s="314"/>
      <c r="AJ21" s="314"/>
      <c r="AK21" s="314"/>
      <c r="AL21" s="314"/>
      <c r="AM21" s="314"/>
      <c r="AN21" s="2"/>
      <c r="AO21" s="2"/>
      <c r="AP21" s="2"/>
      <c r="AQ21" s="2"/>
      <c r="AR21" s="2"/>
      <c r="AS21" s="2"/>
      <c r="AT21" s="2"/>
      <c r="AU21" s="2"/>
      <c r="AV21" s="2"/>
      <c r="AW21" s="2"/>
      <c r="AX21" s="2"/>
      <c r="AY21" s="2"/>
      <c r="AZ21" s="2"/>
      <c r="BA21" s="2"/>
      <c r="BB21" s="2"/>
      <c r="BC21" s="308" t="s">
        <v>3854</v>
      </c>
      <c r="BD21" s="308"/>
      <c r="BE21" s="308"/>
      <c r="BF21" s="308"/>
      <c r="BG21" s="308"/>
      <c r="BH21" s="308"/>
      <c r="BI21" s="308"/>
      <c r="BJ21" s="308"/>
      <c r="BK21" s="308"/>
      <c r="BL21" s="308"/>
      <c r="BM21" s="308"/>
      <c r="BN21" s="308"/>
      <c r="BO21" s="308"/>
      <c r="BP21" s="2"/>
    </row>
    <row r="22" spans="2:68" ht="16.5" customHeight="1" x14ac:dyDescent="0.25">
      <c r="B22" s="310" t="s">
        <v>3855</v>
      </c>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308"/>
      <c r="BD22" s="308"/>
      <c r="BE22" s="308"/>
      <c r="BF22" s="308"/>
      <c r="BG22" s="308"/>
      <c r="BH22" s="308"/>
      <c r="BI22" s="308"/>
      <c r="BJ22" s="308"/>
      <c r="BK22" s="308"/>
      <c r="BL22" s="308"/>
      <c r="BM22" s="308"/>
      <c r="BN22" s="308"/>
      <c r="BO22" s="308"/>
      <c r="BP22" s="2"/>
    </row>
    <row r="23" spans="2:68" ht="16.5" customHeight="1" x14ac:dyDescent="0.25">
      <c r="B23" s="315" t="s">
        <v>3856</v>
      </c>
      <c r="C23" s="316"/>
      <c r="D23" s="316"/>
      <c r="E23" s="316"/>
      <c r="F23" s="316"/>
      <c r="G23" s="316"/>
      <c r="H23" s="316"/>
      <c r="I23" s="316"/>
      <c r="J23" s="316"/>
      <c r="K23" s="316"/>
      <c r="L23" s="316"/>
      <c r="M23" s="316"/>
      <c r="N23" s="316"/>
      <c r="O23" s="316"/>
      <c r="P23" s="316"/>
      <c r="Q23" s="316"/>
      <c r="R23" s="316"/>
      <c r="S23" s="316"/>
      <c r="T23" s="316"/>
      <c r="U23" s="316"/>
      <c r="V23" s="316"/>
      <c r="W23" s="316"/>
      <c r="X23" s="316"/>
      <c r="Y23" s="317"/>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4" t="s">
        <v>3857</v>
      </c>
      <c r="BD23" s="2"/>
      <c r="BE23" s="2"/>
      <c r="BF23" s="2"/>
      <c r="BG23" s="2"/>
      <c r="BH23" s="2"/>
      <c r="BI23" s="2"/>
      <c r="BJ23" s="2"/>
      <c r="BK23" s="2"/>
      <c r="BL23" s="2"/>
      <c r="BM23" s="2"/>
      <c r="BN23" s="2"/>
      <c r="BO23" s="2"/>
      <c r="BP23" s="2"/>
    </row>
    <row r="24" spans="2:68" ht="16.5" customHeight="1" x14ac:dyDescent="0.25">
      <c r="B24" s="310" t="s">
        <v>3858</v>
      </c>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331" t="s">
        <v>3859</v>
      </c>
      <c r="BD24" s="331"/>
      <c r="BE24" s="331"/>
      <c r="BF24" s="331"/>
      <c r="BG24" s="331"/>
      <c r="BH24" s="331"/>
      <c r="BI24" s="331"/>
      <c r="BJ24" s="331"/>
      <c r="BK24" s="331"/>
      <c r="BL24" s="331"/>
      <c r="BM24" s="331"/>
      <c r="BN24" s="331"/>
      <c r="BO24" s="331"/>
      <c r="BP24" s="4" t="s">
        <v>3860</v>
      </c>
    </row>
    <row r="25" spans="2:68" ht="16.5" customHeight="1" x14ac:dyDescent="0.25">
      <c r="B25" s="310" t="s">
        <v>3861</v>
      </c>
      <c r="C25" s="310"/>
      <c r="D25" s="310"/>
      <c r="E25" s="310"/>
      <c r="F25" s="310"/>
      <c r="G25" s="310"/>
      <c r="H25" s="310"/>
      <c r="I25" s="310"/>
      <c r="J25" s="310"/>
      <c r="K25" s="310"/>
      <c r="L25" s="310"/>
      <c r="M25" s="310"/>
      <c r="N25" s="310"/>
      <c r="O25" s="310"/>
      <c r="P25" s="310"/>
      <c r="Q25" s="310"/>
      <c r="R25" s="310"/>
      <c r="S25" s="310"/>
      <c r="T25" s="310"/>
      <c r="U25" s="310"/>
      <c r="V25" s="310"/>
      <c r="W25" s="310"/>
      <c r="X25" s="310"/>
      <c r="Y25" s="310"/>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331"/>
      <c r="BD25" s="331"/>
      <c r="BE25" s="331"/>
      <c r="BF25" s="331"/>
      <c r="BG25" s="331"/>
      <c r="BH25" s="331"/>
      <c r="BI25" s="331"/>
      <c r="BJ25" s="331"/>
      <c r="BK25" s="331"/>
      <c r="BL25" s="331"/>
      <c r="BM25" s="331"/>
      <c r="BN25" s="331"/>
      <c r="BO25" s="331"/>
      <c r="BP25" s="2"/>
    </row>
    <row r="26" spans="2:68" ht="16.5" customHeight="1" x14ac:dyDescent="0.25">
      <c r="B26" s="310" t="s">
        <v>3862</v>
      </c>
      <c r="C26" s="310"/>
      <c r="D26" s="310"/>
      <c r="E26" s="310"/>
      <c r="F26" s="310"/>
      <c r="G26" s="310"/>
      <c r="H26" s="310"/>
      <c r="I26" s="310"/>
      <c r="J26" s="310"/>
      <c r="K26" s="310"/>
      <c r="L26" s="310"/>
      <c r="M26" s="310"/>
      <c r="N26" s="310"/>
      <c r="O26" s="310"/>
      <c r="P26" s="310"/>
      <c r="Q26" s="310"/>
      <c r="R26" s="310"/>
      <c r="S26" s="310"/>
      <c r="T26" s="310"/>
      <c r="U26" s="310"/>
      <c r="V26" s="310"/>
      <c r="W26" s="310"/>
      <c r="X26" s="310"/>
      <c r="Y26" s="310"/>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331"/>
      <c r="BD26" s="331"/>
      <c r="BE26" s="331"/>
      <c r="BF26" s="331"/>
      <c r="BG26" s="331"/>
      <c r="BH26" s="331"/>
      <c r="BI26" s="331"/>
      <c r="BJ26" s="331"/>
      <c r="BK26" s="331"/>
      <c r="BL26" s="331"/>
      <c r="BM26" s="331"/>
      <c r="BN26" s="331"/>
      <c r="BO26" s="331"/>
      <c r="BP26" s="2"/>
    </row>
    <row r="27" spans="2:68" ht="16.5" customHeight="1" x14ac:dyDescent="0.25">
      <c r="B27" s="310" t="s">
        <v>3863</v>
      </c>
      <c r="C27" s="310"/>
      <c r="D27" s="310"/>
      <c r="E27" s="310"/>
      <c r="F27" s="310"/>
      <c r="G27" s="310"/>
      <c r="H27" s="310"/>
      <c r="I27" s="310"/>
      <c r="J27" s="310"/>
      <c r="K27" s="310"/>
      <c r="L27" s="310"/>
      <c r="M27" s="310"/>
      <c r="N27" s="310"/>
      <c r="O27" s="310"/>
      <c r="P27" s="310"/>
      <c r="Q27" s="310"/>
      <c r="R27" s="310"/>
      <c r="S27" s="310"/>
      <c r="T27" s="310"/>
      <c r="U27" s="310"/>
      <c r="V27" s="310"/>
      <c r="W27" s="310"/>
      <c r="X27" s="310"/>
      <c r="Y27" s="310"/>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331"/>
      <c r="BD27" s="331"/>
      <c r="BE27" s="331"/>
      <c r="BF27" s="331"/>
      <c r="BG27" s="331"/>
      <c r="BH27" s="331"/>
      <c r="BI27" s="331"/>
      <c r="BJ27" s="331"/>
      <c r="BK27" s="331"/>
      <c r="BL27" s="331"/>
      <c r="BM27" s="331"/>
      <c r="BN27" s="331"/>
      <c r="BO27" s="331"/>
      <c r="BP27" s="2"/>
    </row>
    <row r="28" spans="2:68" ht="16.5" customHeight="1" x14ac:dyDescent="0.25">
      <c r="B28" s="310" t="s">
        <v>3864</v>
      </c>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331"/>
      <c r="BD28" s="331"/>
      <c r="BE28" s="331"/>
      <c r="BF28" s="331"/>
      <c r="BG28" s="331"/>
      <c r="BH28" s="331"/>
      <c r="BI28" s="331"/>
      <c r="BJ28" s="331"/>
      <c r="BK28" s="331"/>
      <c r="BL28" s="331"/>
      <c r="BM28" s="331"/>
      <c r="BN28" s="331"/>
      <c r="BO28" s="331"/>
      <c r="BP28" s="2"/>
    </row>
    <row r="29" spans="2:68" ht="16.5" customHeight="1" x14ac:dyDescent="0.25">
      <c r="B29" s="310" t="s">
        <v>3865</v>
      </c>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331"/>
      <c r="BD29" s="331"/>
      <c r="BE29" s="331"/>
      <c r="BF29" s="331"/>
      <c r="BG29" s="331"/>
      <c r="BH29" s="331"/>
      <c r="BI29" s="331"/>
      <c r="BJ29" s="331"/>
      <c r="BK29" s="331"/>
      <c r="BL29" s="331"/>
      <c r="BM29" s="331"/>
      <c r="BN29" s="331"/>
      <c r="BO29" s="331"/>
      <c r="BP29" s="2"/>
    </row>
    <row r="30" spans="2:68" ht="16.5" customHeight="1" x14ac:dyDescent="0.25">
      <c r="B30" s="310" t="s">
        <v>3866</v>
      </c>
      <c r="C30" s="310"/>
      <c r="D30" s="310"/>
      <c r="E30" s="310"/>
      <c r="F30" s="310"/>
      <c r="G30" s="310"/>
      <c r="H30" s="310"/>
      <c r="I30" s="310"/>
      <c r="J30" s="310"/>
      <c r="K30" s="310"/>
      <c r="L30" s="310"/>
      <c r="M30" s="310"/>
      <c r="N30" s="310"/>
      <c r="O30" s="310"/>
      <c r="P30" s="310"/>
      <c r="Q30" s="310"/>
      <c r="R30" s="310"/>
      <c r="S30" s="310"/>
      <c r="T30" s="310"/>
      <c r="U30" s="310"/>
      <c r="V30" s="310"/>
      <c r="W30" s="310"/>
      <c r="X30" s="310"/>
      <c r="Y30" s="310"/>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4" t="s">
        <v>3867</v>
      </c>
      <c r="BD30" s="2"/>
      <c r="BE30" s="2"/>
      <c r="BF30" s="2"/>
      <c r="BG30" s="2"/>
      <c r="BH30" s="2"/>
      <c r="BI30" s="2"/>
      <c r="BJ30" s="2"/>
      <c r="BK30" s="2"/>
      <c r="BL30" s="2"/>
      <c r="BM30" s="2"/>
      <c r="BN30" s="2"/>
      <c r="BO30" s="2"/>
      <c r="BP30" s="2"/>
    </row>
    <row r="31" spans="2:68" ht="16.5" customHeight="1" x14ac:dyDescent="0.25">
      <c r="B31" s="310" t="s">
        <v>3868</v>
      </c>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row>
    <row r="32" spans="2:68" ht="16.5" customHeight="1" x14ac:dyDescent="0.25">
      <c r="B32" s="310" t="s">
        <v>3869</v>
      </c>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row>
    <row r="33" spans="2:68" ht="16.5" customHeight="1" x14ac:dyDescent="0.25">
      <c r="B33" s="310" t="s">
        <v>3870</v>
      </c>
      <c r="C33" s="310"/>
      <c r="D33" s="310"/>
      <c r="E33" s="310"/>
      <c r="F33" s="310"/>
      <c r="G33" s="310"/>
      <c r="H33" s="310"/>
      <c r="I33" s="310"/>
      <c r="J33" s="310"/>
      <c r="K33" s="310"/>
      <c r="L33" s="310"/>
      <c r="M33" s="310"/>
      <c r="N33" s="310"/>
      <c r="O33" s="310"/>
      <c r="P33" s="310"/>
      <c r="Q33" s="310"/>
      <c r="R33" s="310"/>
      <c r="S33" s="310"/>
      <c r="T33" s="310"/>
      <c r="U33" s="310"/>
      <c r="V33" s="310"/>
      <c r="W33" s="310"/>
      <c r="X33" s="310"/>
      <c r="Y33" s="310"/>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row>
    <row r="34" spans="2:68" ht="16.5" customHeight="1" x14ac:dyDescent="0.25">
      <c r="B34" s="332" t="s">
        <v>3871</v>
      </c>
      <c r="C34" s="333"/>
      <c r="D34" s="333"/>
      <c r="E34" s="333"/>
      <c r="F34" s="333"/>
      <c r="G34" s="333"/>
      <c r="H34" s="333"/>
      <c r="I34" s="333"/>
      <c r="J34" s="333"/>
      <c r="K34" s="333"/>
      <c r="L34" s="333"/>
      <c r="M34" s="333"/>
      <c r="N34" s="333"/>
      <c r="O34" s="333"/>
      <c r="P34" s="333"/>
      <c r="Q34" s="333"/>
      <c r="R34" s="333"/>
      <c r="S34" s="333"/>
      <c r="T34" s="333"/>
      <c r="U34" s="333"/>
      <c r="V34" s="333"/>
      <c r="W34" s="333"/>
      <c r="X34" s="333"/>
      <c r="Y34" s="334"/>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row>
    <row r="35" spans="2:68" ht="16.5" customHeight="1" x14ac:dyDescent="0.25">
      <c r="B35" s="335"/>
      <c r="C35" s="336"/>
      <c r="D35" s="336"/>
      <c r="E35" s="336"/>
      <c r="F35" s="336"/>
      <c r="G35" s="336"/>
      <c r="H35" s="336"/>
      <c r="I35" s="336"/>
      <c r="J35" s="336"/>
      <c r="K35" s="336"/>
      <c r="L35" s="336"/>
      <c r="M35" s="336"/>
      <c r="N35" s="336"/>
      <c r="O35" s="336"/>
      <c r="P35" s="336"/>
      <c r="Q35" s="336"/>
      <c r="R35" s="336"/>
      <c r="S35" s="336"/>
      <c r="T35" s="336"/>
      <c r="U35" s="336"/>
      <c r="V35" s="336"/>
      <c r="W35" s="336"/>
      <c r="X35" s="336"/>
      <c r="Y35" s="337"/>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row>
    <row r="36" spans="2:68" ht="16.5" customHeight="1" x14ac:dyDescent="0.25">
      <c r="B36" s="310" t="s">
        <v>3872</v>
      </c>
      <c r="C36" s="310"/>
      <c r="D36" s="310"/>
      <c r="E36" s="310"/>
      <c r="F36" s="310"/>
      <c r="G36" s="310"/>
      <c r="H36" s="310"/>
      <c r="I36" s="310"/>
      <c r="J36" s="310"/>
      <c r="K36" s="310"/>
      <c r="L36" s="310"/>
      <c r="M36" s="310"/>
      <c r="N36" s="310"/>
      <c r="O36" s="310"/>
      <c r="P36" s="310"/>
      <c r="Q36" s="310"/>
      <c r="R36" s="310"/>
      <c r="S36" s="310"/>
      <c r="T36" s="310"/>
      <c r="U36" s="310"/>
      <c r="V36" s="310"/>
      <c r="W36" s="310"/>
      <c r="X36" s="310"/>
      <c r="Y36" s="310"/>
    </row>
    <row r="37" spans="2:68" ht="16.5" customHeight="1" x14ac:dyDescent="0.25">
      <c r="B37" s="310" t="s">
        <v>3873</v>
      </c>
      <c r="C37" s="310"/>
      <c r="D37" s="310"/>
      <c r="E37" s="310"/>
      <c r="F37" s="310"/>
      <c r="G37" s="310"/>
      <c r="H37" s="310"/>
      <c r="I37" s="310"/>
      <c r="J37" s="310"/>
      <c r="K37" s="310"/>
      <c r="L37" s="310"/>
      <c r="M37" s="310"/>
      <c r="N37" s="310"/>
      <c r="O37" s="310"/>
      <c r="P37" s="310"/>
      <c r="Q37" s="310"/>
      <c r="R37" s="310"/>
      <c r="S37" s="310"/>
      <c r="T37" s="310"/>
      <c r="U37" s="310"/>
      <c r="V37" s="310"/>
      <c r="W37" s="310"/>
      <c r="X37" s="310"/>
      <c r="Y37" s="310"/>
    </row>
    <row r="38" spans="2:68" ht="16.5" customHeight="1" x14ac:dyDescent="0.25">
      <c r="B38" s="310" t="s">
        <v>3874</v>
      </c>
      <c r="C38" s="310"/>
      <c r="D38" s="310"/>
      <c r="E38" s="310"/>
      <c r="F38" s="310"/>
      <c r="G38" s="310"/>
      <c r="H38" s="310"/>
      <c r="I38" s="310"/>
      <c r="J38" s="310"/>
      <c r="K38" s="310"/>
      <c r="L38" s="310"/>
      <c r="M38" s="310"/>
      <c r="N38" s="310"/>
      <c r="O38" s="310"/>
      <c r="P38" s="310"/>
      <c r="Q38" s="310"/>
      <c r="R38" s="310"/>
      <c r="S38" s="310"/>
      <c r="T38" s="310"/>
      <c r="U38" s="310"/>
      <c r="V38" s="310"/>
      <c r="W38" s="310"/>
      <c r="X38" s="310"/>
      <c r="Y38" s="310"/>
    </row>
  </sheetData>
  <sheetProtection password="E607" sheet="1" objects="1"/>
  <mergeCells count="80">
    <mergeCell ref="BC19:BO20"/>
    <mergeCell ref="BC21:BO22"/>
    <mergeCell ref="BC24:BO29"/>
    <mergeCell ref="B34:Y35"/>
    <mergeCell ref="BC4:BO5"/>
    <mergeCell ref="AO6:AP7"/>
    <mergeCell ref="BC8:BO9"/>
    <mergeCell ref="AO9:AP10"/>
    <mergeCell ref="AO12:AP13"/>
    <mergeCell ref="BC12:BO13"/>
    <mergeCell ref="AO3:AP4"/>
    <mergeCell ref="B33:Y33"/>
    <mergeCell ref="B36:Y36"/>
    <mergeCell ref="B37:Y37"/>
    <mergeCell ref="B38:Y38"/>
    <mergeCell ref="B3:Y4"/>
    <mergeCell ref="B28:Y28"/>
    <mergeCell ref="B29:Y29"/>
    <mergeCell ref="B30:Y30"/>
    <mergeCell ref="B31:Y31"/>
    <mergeCell ref="B32:Y32"/>
    <mergeCell ref="B23:Y23"/>
    <mergeCell ref="B24:Y24"/>
    <mergeCell ref="B25:Y25"/>
    <mergeCell ref="B26:Y26"/>
    <mergeCell ref="B27:Y27"/>
    <mergeCell ref="B20:Y20"/>
    <mergeCell ref="AA20:AM20"/>
    <mergeCell ref="B21:Y21"/>
    <mergeCell ref="AA21:AM21"/>
    <mergeCell ref="B22:Y22"/>
    <mergeCell ref="B17:Y17"/>
    <mergeCell ref="AA17:AM17"/>
    <mergeCell ref="B18:Y18"/>
    <mergeCell ref="AA18:AL18"/>
    <mergeCell ref="B19:Y19"/>
    <mergeCell ref="B15:Y15"/>
    <mergeCell ref="AQ15:BA15"/>
    <mergeCell ref="BC15:BO15"/>
    <mergeCell ref="B16:Y16"/>
    <mergeCell ref="AA16:AM16"/>
    <mergeCell ref="AO14:AP15"/>
    <mergeCell ref="BC16:BO17"/>
    <mergeCell ref="B13:Y13"/>
    <mergeCell ref="AA13:AM13"/>
    <mergeCell ref="AQ13:BA13"/>
    <mergeCell ref="B14:Y14"/>
    <mergeCell ref="AQ14:BA14"/>
    <mergeCell ref="B11:Y11"/>
    <mergeCell ref="AA11:AM11"/>
    <mergeCell ref="BC11:BO11"/>
    <mergeCell ref="B12:Y12"/>
    <mergeCell ref="AA12:AM12"/>
    <mergeCell ref="AQ12:BA12"/>
    <mergeCell ref="B9:Y9"/>
    <mergeCell ref="AA9:AM9"/>
    <mergeCell ref="AQ9:BA9"/>
    <mergeCell ref="B10:Y10"/>
    <mergeCell ref="AA10:AM10"/>
    <mergeCell ref="AQ10:BA10"/>
    <mergeCell ref="B7:Y7"/>
    <mergeCell ref="AA7:AM7"/>
    <mergeCell ref="AQ7:BA7"/>
    <mergeCell ref="BC7:BO7"/>
    <mergeCell ref="B8:Y8"/>
    <mergeCell ref="AA8:AM8"/>
    <mergeCell ref="AA4:AM4"/>
    <mergeCell ref="AQ4:BA4"/>
    <mergeCell ref="B5:Y5"/>
    <mergeCell ref="AA5:AM5"/>
    <mergeCell ref="B6:Y6"/>
    <mergeCell ref="AA6:AM6"/>
    <mergeCell ref="AQ6:BA6"/>
    <mergeCell ref="B2:Y2"/>
    <mergeCell ref="AA2:AM2"/>
    <mergeCell ref="AO2:BA2"/>
    <mergeCell ref="BC2:BO2"/>
    <mergeCell ref="AA3:AM3"/>
    <mergeCell ref="AQ3:BA3"/>
    <mergeCell ref="BC3:BO3"/>
  </mergeCells>
  <phoneticPr fontId="44"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29"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31"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40</vt:i4>
      </vt:variant>
    </vt:vector>
  </HeadingPairs>
  <TitlesOfParts>
    <vt:vector size="47" baseType="lpstr">
      <vt:lpstr>背景</vt:lpstr>
      <vt:lpstr>数据表</vt:lpstr>
      <vt:lpstr>职业</vt:lpstr>
      <vt:lpstr>装备</vt:lpstr>
      <vt:lpstr>种族</vt:lpstr>
      <vt:lpstr>背景数据</vt:lpstr>
      <vt:lpstr> </vt:lpstr>
      <vt:lpstr>匕首</vt:lpstr>
      <vt:lpstr>鞭</vt:lpstr>
      <vt:lpstr>标枪</vt:lpstr>
      <vt:lpstr>捕网</vt:lpstr>
      <vt:lpstr>吹箭筒</vt:lpstr>
      <vt:lpstr>刺剑</vt:lpstr>
      <vt:lpstr>钉头锤</vt:lpstr>
      <vt:lpstr>短棒</vt:lpstr>
      <vt:lpstr>短弓</vt:lpstr>
      <vt:lpstr>短剑</vt:lpstr>
      <vt:lpstr>飞镖</vt:lpstr>
      <vt:lpstr>戟</vt:lpstr>
      <vt:lpstr>巨棒</vt:lpstr>
      <vt:lpstr>巨锤</vt:lpstr>
      <vt:lpstr>巨斧</vt:lpstr>
      <vt:lpstr>巨剑</vt:lpstr>
      <vt:lpstr>镰刀</vt:lpstr>
      <vt:lpstr>链枷</vt:lpstr>
      <vt:lpstr>矛</vt:lpstr>
      <vt:lpstr>骑枪</vt:lpstr>
      <vt:lpstr>轻锤</vt:lpstr>
      <vt:lpstr>轻弩</vt:lpstr>
      <vt:lpstr>轻型</vt:lpstr>
      <vt:lpstr>三叉戟</vt:lpstr>
      <vt:lpstr>手斧</vt:lpstr>
      <vt:lpstr>手弩</vt:lpstr>
      <vt:lpstr>投石索</vt:lpstr>
      <vt:lpstr>弯刀</vt:lpstr>
      <vt:lpstr>硬头锤</vt:lpstr>
      <vt:lpstr>战锤</vt:lpstr>
      <vt:lpstr>战斧</vt:lpstr>
      <vt:lpstr>战镐</vt:lpstr>
      <vt:lpstr>长柄刀</vt:lpstr>
      <vt:lpstr>长弓</vt:lpstr>
      <vt:lpstr>长棍</vt:lpstr>
      <vt:lpstr>长剑</vt:lpstr>
      <vt:lpstr>长矛</vt:lpstr>
      <vt:lpstr>中型</vt:lpstr>
      <vt:lpstr>重弩</vt:lpstr>
      <vt:lpstr>重型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Christia Guo</cp:lastModifiedBy>
  <dcterms:created xsi:type="dcterms:W3CDTF">2018-02-27T11:14:00Z</dcterms:created>
  <dcterms:modified xsi:type="dcterms:W3CDTF">2026-05-20T14:51:44Z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B326FF01EA5E4249852041536C610055_12</vt:lpwstr>
  </property>
  <property fmtid="{D5CDD505-2E9C-101B-9397-08002B2CF9AE}" pid="5" name="CalculationRule">
    <vt:i4>0</vt:i4>
  </property>
</Properties>
</file>